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d62f894704d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2fa38f75334c84"/>
    <x:sheet xmlns:r="http://schemas.openxmlformats.org/officeDocument/2006/relationships" name="Assumptions" sheetId="2" r:id="R5859b7e9430a403d"/>
    <x:sheet xmlns:r="http://schemas.openxmlformats.org/officeDocument/2006/relationships" name="TAM_SAM_SOM" sheetId="3" r:id="Raacdc2c4d01941f0"/>
    <x:sheet xmlns:r="http://schemas.openxmlformats.org/officeDocument/2006/relationships" name="Unit_Economics" sheetId="4" r:id="R91d48692e3c043db"/>
    <x:sheet xmlns:r="http://schemas.openxmlformats.org/officeDocument/2006/relationships" name="Scenarios_2030" sheetId="5" r:id="R40aef52828b64657"/>
    <x:sheet xmlns:r="http://schemas.openxmlformats.org/officeDocument/2006/relationships" name="ArtHello" sheetId="6" r:id="R2f97ad6d0ca44d26"/>
    <x:sheet xmlns:r="http://schemas.openxmlformats.org/officeDocument/2006/relationships" name="Opportunities" sheetId="7" r:id="R6a90874c61e54360"/>
    <x:sheet xmlns:r="http://schemas.openxmlformats.org/officeDocument/2006/relationships" name="Plan_90_Days" sheetId="8" r:id="R16a5ba4936364f62"/>
    <x:sheet xmlns:r="http://schemas.openxmlformats.org/officeDocument/2006/relationships" name="Roadmap_12M" sheetId="9" r:id="Ra529a5e727af4491"/>
    <x:sheet xmlns:r="http://schemas.openxmlformats.org/officeDocument/2006/relationships" name="SPb_Competitors" sheetId="10" r:id="Ra31cf87b4b2b4a3d"/>
    <x:sheet xmlns:r="http://schemas.openxmlformats.org/officeDocument/2006/relationships" name="Russia_Competitors" sheetId="11" r:id="R8f79541274a8470c"/>
    <x:sheet xmlns:r="http://schemas.openxmlformats.org/officeDocument/2006/relationships" name="Global_Models" sheetId="12" r:id="R53c371e475d94389"/>
    <x:sheet xmlns:r="http://schemas.openxmlformats.org/officeDocument/2006/relationships" name="Reviews_Parents" sheetId="13" r:id="R0dd80811ad3342a3"/>
    <x:sheet xmlns:r="http://schemas.openxmlformats.org/officeDocument/2006/relationships" name="Regulation" sheetId="14" r:id="Red07db30deeb4c99"/>
    <x:sheet xmlns:r="http://schemas.openxmlformats.org/officeDocument/2006/relationships" name="Sources" sheetId="15" r:id="R1f3f19bb39854e87"/>
    <x:sheet xmlns:r="http://schemas.openxmlformats.org/officeDocument/2006/relationships" name="Checks" sheetId="16" r:id="R7d9522460bad4e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#,##0 &quot;₽&quot;"/>
    <x:numFmt numFmtId="202" formatCode="#,##0.0"/>
    <x:numFmt numFmtId="203" formatCode="0.0"/>
    <x:numFmt numFmtId="204" formatCode="0"/>
    <x:numFmt numFmtId="205" formatCode="#,##0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E6878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  <x:font>
      <x:b/>
      <x:sz val="9"/>
      <x:color rgb="FF1D4ED8"/>
      <x:name val="Carlito"/>
    </x:font>
    <x:font>
      <x:sz val="9"/>
      <x:color rgb="FF13795B"/>
      <x:name val="Carlito"/>
    </x:font>
    <x:font>
      <x:sz val="9"/>
      <x:color rgb="FF7A5300"/>
      <x:name val="Carlito"/>
    </x:font>
    <x:font>
      <x:b/>
      <x:sz val="9"/>
      <x:color rgb="FFC44536"/>
      <x:name val="Carlito"/>
    </x:font>
    <x:font>
      <x:b/>
      <x:sz val="11"/>
      <x:color rgb="FFFFFFFF"/>
      <x:name val="Carlito"/>
    </x:font>
    <x:font>
      <x:b/>
      <x:sz val="9"/>
      <x:color rgb="FF13795B"/>
      <x:name val="Carlito"/>
    </x:font>
    <x:font>
      <x:b/>
      <x:sz val="12"/>
      <x:color rgb="FF13795B"/>
      <x:name val="Carlito"/>
    </x:font>
    <x:font>
      <x:b/>
      <x:sz val="11"/>
      <x:color rgb="FF172033"/>
      <x:name val="Carlito"/>
    </x:font>
    <x:font>
      <x:sz val="11"/>
      <x:color rgb="FF17203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F7F8FA"/>
      </x:patternFill>
    </x:fill>
    <x:fill>
      <x:patternFill patternType="solid">
        <x:fgColor rgb="FF1F355E"/>
      </x:patternFill>
    </x:fill>
    <x:fill>
      <x:patternFill patternType="solid">
        <x:fgColor rgb="FFFFF4CC"/>
      </x:patternFill>
    </x:fill>
    <x:fill>
      <x:patternFill patternType="solid">
        <x:fgColor rgb="FFE2F3EC"/>
      </x:patternFill>
    </x:fill>
    <x:fill>
      <x:patternFill patternType="solid">
        <x:fgColor rgb="FFFBE4E2"/>
      </x:patternFill>
    </x:fill>
    <x:fill>
      <x:patternFill patternType="solid">
        <x:fgColor rgb="FF2A9D8F"/>
      </x:patternFill>
    </x:fill>
    <x:fill>
      <x:patternFill patternType="solid">
        <x:fgColor rgb="FFDDF3EF"/>
      </x:patternFill>
    </x:fill>
  </x:fills>
  <x:borders count="19">
    <x:border/>
    <x:border>
      <x:left style="thin">
        <x:color rgb="FFB8C0CC"/>
      </x:left>
      <x:right style="thin">
        <x:color rgb="FFB8C0CC"/>
      </x:right>
      <x:top style="thin">
        <x:color rgb="FFB8C0CC"/>
      </x:top>
      <x:bottom style="thin">
        <x:color rgb="FFB8C0CC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medium">
        <x:color rgb="FF2A9D8F"/>
      </x:left>
      <x:top style="medium">
        <x:color rgb="FF2A9D8F"/>
      </x:top>
    </x:border>
    <x:border>
      <x:top style="medium">
        <x:color rgb="FF2A9D8F"/>
      </x:top>
    </x:border>
    <x:border>
      <x:right style="medium">
        <x:color rgb="FF2A9D8F"/>
      </x:right>
      <x:top style="medium">
        <x:color rgb="FF2A9D8F"/>
      </x:top>
    </x:border>
    <x:border>
      <x:left style="medium">
        <x:color rgb="FF2A9D8F"/>
      </x:left>
    </x:border>
    <x:border>
      <x:right style="medium">
        <x:color rgb="FF2A9D8F"/>
      </x:right>
    </x:border>
    <x:border>
      <x:left style="medium">
        <x:color rgb="FF2A9D8F"/>
      </x:left>
      <x:bottom style="medium">
        <x:color rgb="FF2A9D8F"/>
      </x:bottom>
    </x:border>
    <x:border>
      <x:bottom style="medium">
        <x:color rgb="FF2A9D8F"/>
      </x:bottom>
    </x:border>
    <x:border>
      <x:right style="medium">
        <x:color rgb="FF2A9D8F"/>
      </x:right>
      <x:bottom style="medium">
        <x:color rgb="FF2A9D8F"/>
      </x:bottom>
    </x:border>
    <x:border>
      <x:left style="medium">
        <x:color rgb="FF1F355E"/>
      </x:left>
      <x:top style="medium">
        <x:color rgb="FF1F355E"/>
      </x:top>
    </x:border>
    <x:border>
      <x:top style="medium">
        <x:color rgb="FF1F355E"/>
      </x:top>
    </x:border>
    <x:border>
      <x:right style="medium">
        <x:color rgb="FF1F355E"/>
      </x:right>
      <x:top style="medium">
        <x:color rgb="FF1F355E"/>
      </x:top>
    </x:border>
    <x:border>
      <x:left style="medium">
        <x:color rgb="FF1F355E"/>
      </x:left>
    </x:border>
    <x:border>
      <x:right style="medium">
        <x:color rgb="FF1F355E"/>
      </x:right>
    </x:border>
    <x:border>
      <x:left style="medium">
        <x:color rgb="FF1F355E"/>
      </x:left>
      <x:bottom style="medium">
        <x:color rgb="FF1F355E"/>
      </x:bottom>
    </x:border>
    <x:border>
      <x:bottom style="medium">
        <x:color rgb="FF1F355E"/>
      </x:bottom>
    </x:border>
    <x:border>
      <x:right style="medium">
        <x:color rgb="FF1F355E"/>
      </x:right>
      <x:bottom style="medium">
        <x:color rgb="FF1F355E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right" vertical="top" wrapText="1"/>
    </x:xf>
    <x:xf numFmtId="200" fontId="5" fillId="5" borderId="2" xfId="0" applyNumberFormat="1" applyFont="1" applyFill="1" applyBorder="1" applyAlignment="1">
      <x:alignment horizontal="right" vertical="top" wrapText="1"/>
    </x:xf>
    <x:xf numFmtId="201" fontId="5" fillId="5" borderId="2" xfId="0" applyNumberFormat="1" applyFont="1" applyFill="1" applyBorder="1" applyAlignment="1">
      <x:alignment horizontal="right"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6" fillId="0" borderId="2" xfId="0" applyNumberFormat="1" applyFont="1" applyFill="1" applyBorder="1" applyAlignment="1">
      <x:alignment vertical="top" wrapText="1"/>
    </x:xf>
    <x:xf numFmtId="202" fontId="6" fillId="7" borderId="2" xfId="0" applyNumberFormat="1" applyFont="1" applyFill="1" applyBorder="1" applyAlignment="1">
      <x:alignment vertical="top" wrapText="1"/>
    </x:xf>
    <x:xf numFmtId="202" fontId="8" fillId="7" borderId="2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8" fillId="7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200" fontId="5" fillId="5" borderId="2" xfId="0" applyNumberFormat="1" applyFont="1" applyFill="1" applyBorder="1" applyAlignment="1">
      <x:alignment vertical="top" wrapText="1"/>
    </x:xf>
    <x:xf numFmtId="201" fontId="5" fillId="5" borderId="2" xfId="0" applyNumberFormat="1" applyFont="1" applyFill="1" applyBorder="1" applyAlignment="1">
      <x:alignment vertical="top" wrapText="1"/>
    </x:xf>
    <x:xf numFmtId="201" fontId="6" fillId="0" borderId="2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203" fontId="6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0" fontId="10" fillId="0" borderId="2" xfId="0" applyNumberFormat="1" applyFont="1" applyFill="1" applyBorder="1" applyAlignment="1">
      <x:alignment vertical="top" wrapText="1"/>
    </x:xf>
    <x:xf numFmtId="201" fontId="10" fillId="0" borderId="2" xfId="0" applyNumberFormat="1" applyFont="1" applyFill="1" applyBorder="1" applyAlignment="1">
      <x:alignment vertical="top" wrapText="1"/>
    </x:xf>
    <x:xf numFmtId="200" fontId="10" fillId="0" borderId="2" xfId="0" applyNumberFormat="1" applyFont="1" applyFill="1" applyBorder="1" applyAlignment="1">
      <x:alignment vertical="top" wrapText="1"/>
    </x:xf>
    <x:xf numFmtId="204" fontId="4" fillId="0" borderId="2" xfId="0" applyNumberFormat="1" applyFont="1" applyFill="1" applyBorder="1" applyAlignment="1">
      <x:alignment vertical="top" wrapText="1"/>
    </x:xf>
    <x:xf numFmtId="203" fontId="10" fillId="0" borderId="2" xfId="0" applyNumberFormat="1" applyFont="1" applyFill="1" applyBorder="1" applyAlignment="1">
      <x:alignment vertical="top" wrapText="1"/>
    </x:xf>
    <x:xf numFmtId="201" fontId="4" fillId="9" borderId="2" xfId="0" applyNumberFormat="1" applyFont="1" applyFill="1" applyBorder="1" applyAlignment="1">
      <x:alignment vertical="top" wrapText="1"/>
    </x:xf>
    <x:xf numFmtId="201" fontId="11" fillId="9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3" xfId="0" applyNumberFormat="1" applyFont="1" applyFill="1" applyBorder="1"/>
    <x:xf numFmtId="0" fontId="12" fillId="9" borderId="4" xfId="0" applyNumberFormat="1" applyFont="1" applyFill="1" applyBorder="1"/>
    <x:xf numFmtId="0" fontId="12" fillId="9" borderId="5" xfId="0" applyNumberFormat="1" applyFont="1" applyFill="1" applyBorder="1"/>
    <x:xf numFmtId="0" fontId="12" fillId="9" borderId="6" xfId="0" applyNumberFormat="1" applyFont="1" applyFill="1" applyBorder="1"/>
    <x:xf numFmtId="0" fontId="12" fillId="9" borderId="7" xfId="0" applyNumberFormat="1" applyFont="1" applyFill="1" applyBorder="1"/>
    <x:xf numFmtId="0" fontId="12" fillId="9" borderId="8" xfId="0" applyNumberFormat="1" applyFont="1" applyFill="1" applyBorder="1"/>
    <x:xf numFmtId="0" fontId="12" fillId="9" borderId="9" xfId="0" applyNumberFormat="1" applyFont="1" applyFill="1" applyBorder="1"/>
    <x:xf numFmtId="0" fontId="12" fillId="9" borderId="10" xfId="0" applyNumberFormat="1" applyFont="1" applyFill="1" applyBorder="1"/>
    <x:xf numFmtId="0" fontId="12" fillId="9" borderId="3" xfId="0" applyNumberFormat="1" applyFont="1" applyFill="1" applyBorder="1" applyAlignment="1">
      <x:alignment wrapText="1"/>
    </x:xf>
    <x:xf numFmtId="0" fontId="12" fillId="9" borderId="4" xfId="0" applyNumberFormat="1" applyFont="1" applyFill="1" applyBorder="1" applyAlignment="1">
      <x:alignment wrapText="1"/>
    </x:xf>
    <x:xf numFmtId="0" fontId="12" fillId="9" borderId="5" xfId="0" applyNumberFormat="1" applyFont="1" applyFill="1" applyBorder="1" applyAlignment="1">
      <x:alignment wrapText="1"/>
    </x:xf>
    <x:xf numFmtId="0" fontId="12" fillId="9" borderId="6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wrapText="1"/>
    </x:xf>
    <x:xf numFmtId="0" fontId="12" fillId="9" borderId="7" xfId="0" applyNumberFormat="1" applyFont="1" applyFill="1" applyBorder="1" applyAlignment="1">
      <x:alignment wrapText="1"/>
    </x:xf>
    <x:xf numFmtId="0" fontId="12" fillId="9" borderId="8" xfId="0" applyNumberFormat="1" applyFont="1" applyFill="1" applyBorder="1" applyAlignment="1">
      <x:alignment wrapText="1"/>
    </x:xf>
    <x:xf numFmtId="0" fontId="12" fillId="9" borderId="9" xfId="0" applyNumberFormat="1" applyFont="1" applyFill="1" applyBorder="1" applyAlignment="1">
      <x:alignment wrapText="1"/>
    </x:xf>
    <x:xf numFmtId="0" fontId="12" fillId="9" borderId="10" xfId="0" applyNumberFormat="1" applyFont="1" applyFill="1" applyBorder="1" applyAlignment="1">
      <x:alignment wrapText="1"/>
    </x:xf>
    <x:xf numFmtId="0" fontId="12" fillId="9" borderId="3" xfId="0" applyNumberFormat="1" applyFont="1" applyFill="1" applyBorder="1" applyAlignment="1">
      <x:alignment vertical="center" wrapText="1"/>
    </x:xf>
    <x:xf numFmtId="0" fontId="12" fillId="9" borderId="4" xfId="0" applyNumberFormat="1" applyFont="1" applyFill="1" applyBorder="1" applyAlignment="1">
      <x:alignment vertical="center" wrapText="1"/>
    </x:xf>
    <x:xf numFmtId="0" fontId="12" fillId="9" borderId="5" xfId="0" applyNumberFormat="1" applyFont="1" applyFill="1" applyBorder="1" applyAlignment="1">
      <x:alignment vertical="center" wrapText="1"/>
    </x:xf>
    <x:xf numFmtId="0" fontId="12" fillId="9" borderId="6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vertical="center" wrapText="1"/>
    </x:xf>
    <x:xf numFmtId="0" fontId="12" fillId="9" borderId="7" xfId="0" applyNumberFormat="1" applyFont="1" applyFill="1" applyBorder="1" applyAlignment="1">
      <x:alignment vertical="center" wrapText="1"/>
    </x:xf>
    <x:xf numFmtId="0" fontId="12" fillId="9" borderId="8" xfId="0" applyNumberFormat="1" applyFont="1" applyFill="1" applyBorder="1" applyAlignment="1">
      <x:alignment vertical="center" wrapText="1"/>
    </x:xf>
    <x:xf numFmtId="0" fontId="12" fillId="9" borderId="9" xfId="0" applyNumberFormat="1" applyFont="1" applyFill="1" applyBorder="1" applyAlignment="1">
      <x:alignment vertical="center" wrapText="1"/>
    </x:xf>
    <x:xf numFmtId="0" fontId="12" fillId="9" borderId="10" xfId="0" applyNumberFormat="1" applyFont="1" applyFill="1" applyBorder="1" applyAlignment="1">
      <x:alignment vertical="center" wrapText="1"/>
    </x:xf>
    <x:xf numFmtId="0" fontId="13" fillId="3" borderId="0" xfId="0" applyNumberFormat="1" applyFont="1" applyFill="1" applyBorder="1"/>
    <x:xf numFmtId="0" fontId="13" fillId="3" borderId="11" xfId="0" applyNumberFormat="1" applyFont="1" applyFill="1" applyBorder="1"/>
    <x:xf numFmtId="0" fontId="13" fillId="3" borderId="12" xfId="0" applyNumberFormat="1" applyFont="1" applyFill="1" applyBorder="1"/>
    <x:xf numFmtId="0" fontId="13" fillId="3" borderId="13" xfId="0" applyNumberFormat="1" applyFont="1" applyFill="1" applyBorder="1"/>
    <x:xf numFmtId="0" fontId="13" fillId="3" borderId="14" xfId="0" applyNumberFormat="1" applyFont="1" applyFill="1" applyBorder="1"/>
    <x:xf numFmtId="0" fontId="13" fillId="3" borderId="15" xfId="0" applyNumberFormat="1" applyFont="1" applyFill="1" applyBorder="1"/>
    <x:xf numFmtId="0" fontId="13" fillId="3" borderId="16" xfId="0" applyNumberFormat="1" applyFont="1" applyFill="1" applyBorder="1"/>
    <x:xf numFmtId="0" fontId="13" fillId="3" borderId="17" xfId="0" applyNumberFormat="1" applyFont="1" applyFill="1" applyBorder="1"/>
    <x:xf numFmtId="0" fontId="13" fillId="3" borderId="18" xfId="0" applyNumberFormat="1" applyFont="1" applyFill="1" applyBorder="1"/>
    <x:xf numFmtId="0" fontId="13" fillId="3" borderId="11" xfId="0" applyNumberFormat="1" applyFont="1" applyFill="1" applyBorder="1" applyAlignment="1">
      <x:alignment wrapText="1"/>
    </x:xf>
    <x:xf numFmtId="0" fontId="13" fillId="3" borderId="12" xfId="0" applyNumberFormat="1" applyFont="1" applyFill="1" applyBorder="1" applyAlignment="1">
      <x:alignment wrapText="1"/>
    </x:xf>
    <x:xf numFmtId="0" fontId="13" fillId="3" borderId="13" xfId="0" applyNumberFormat="1" applyFont="1" applyFill="1" applyBorder="1" applyAlignment="1">
      <x:alignment wrapText="1"/>
    </x:xf>
    <x:xf numFmtId="0" fontId="13" fillId="3" borderId="14" xfId="0" applyNumberFormat="1" applyFont="1" applyFill="1" applyBorder="1" applyAlignment="1">
      <x:alignment wrapText="1"/>
    </x:xf>
    <x:xf numFmtId="0" fontId="13" fillId="3" borderId="0" xfId="0" applyNumberFormat="1" applyFont="1" applyFill="1" applyBorder="1" applyAlignment="1">
      <x:alignment wrapText="1"/>
    </x:xf>
    <x:xf numFmtId="0" fontId="13" fillId="3" borderId="15" xfId="0" applyNumberFormat="1" applyFont="1" applyFill="1" applyBorder="1" applyAlignment="1">
      <x:alignment wrapText="1"/>
    </x:xf>
    <x:xf numFmtId="0" fontId="13" fillId="3" borderId="16" xfId="0" applyNumberFormat="1" applyFont="1" applyFill="1" applyBorder="1" applyAlignment="1">
      <x:alignment wrapText="1"/>
    </x:xf>
    <x:xf numFmtId="0" fontId="13" fillId="3" borderId="17" xfId="0" applyNumberFormat="1" applyFont="1" applyFill="1" applyBorder="1" applyAlignment="1">
      <x:alignment wrapText="1"/>
    </x:xf>
    <x:xf numFmtId="0" fontId="13" fillId="3" borderId="18" xfId="0" applyNumberFormat="1" applyFont="1" applyFill="1" applyBorder="1" applyAlignment="1">
      <x:alignment wrapText="1"/>
    </x:xf>
    <x:xf numFmtId="0" fontId="13" fillId="3" borderId="11" xfId="0" applyNumberFormat="1" applyFont="1" applyFill="1" applyBorder="1" applyAlignment="1">
      <x:alignment vertical="center" wrapText="1"/>
    </x:xf>
    <x:xf numFmtId="0" fontId="13" fillId="3" borderId="12" xfId="0" applyNumberFormat="1" applyFont="1" applyFill="1" applyBorder="1" applyAlignment="1">
      <x:alignment vertical="center" wrapText="1"/>
    </x:xf>
    <x:xf numFmtId="0" fontId="13" fillId="3" borderId="13" xfId="0" applyNumberFormat="1" applyFont="1" applyFill="1" applyBorder="1" applyAlignment="1">
      <x:alignment vertical="center" wrapText="1"/>
    </x:xf>
    <x:xf numFmtId="0" fontId="13" fillId="3" borderId="14" xfId="0" applyNumberFormat="1" applyFont="1" applyFill="1" applyBorder="1" applyAlignment="1">
      <x:alignment vertical="center" wrapText="1"/>
    </x:xf>
    <x:xf numFmtId="0" fontId="13" fillId="3" borderId="0" xfId="0" applyNumberFormat="1" applyFont="1" applyFill="1" applyBorder="1" applyAlignment="1">
      <x:alignment vertical="center" wrapText="1"/>
    </x:xf>
    <x:xf numFmtId="0" fontId="13" fillId="3" borderId="15" xfId="0" applyNumberFormat="1" applyFont="1" applyFill="1" applyBorder="1" applyAlignment="1">
      <x:alignment vertical="center" wrapText="1"/>
    </x:xf>
    <x:xf numFmtId="0" fontId="13" fillId="3" borderId="16" xfId="0" applyNumberFormat="1" applyFont="1" applyFill="1" applyBorder="1" applyAlignment="1">
      <x:alignment vertical="center" wrapText="1"/>
    </x:xf>
    <x:xf numFmtId="0" fontId="13" fillId="3" borderId="17" xfId="0" applyNumberFormat="1" applyFont="1" applyFill="1" applyBorder="1" applyAlignment="1">
      <x:alignment vertical="center" wrapText="1"/>
    </x:xf>
    <x:xf numFmtId="0" fontId="13" fillId="3" borderId="18" xfId="0" applyNumberFormat="1" applyFont="1" applyFill="1" applyBorder="1" applyAlignment="1">
      <x:alignment vertical="center" wrapText="1"/>
    </x:xf>
    <x:xf numFmtId="205" fontId="4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1aa4c3ba5245fd" /><Relationship Type="http://schemas.openxmlformats.org/officeDocument/2006/relationships/theme" Target="/xl/theme/theme1.xml" Id="R3bd0ae0c72af4321" /><Relationship Type="http://schemas.openxmlformats.org/officeDocument/2006/relationships/sharedStrings" Target="/xl/sharedStrings.xml" Id="Ra7f2e87fc41d4a15" /><Relationship Type="http://schemas.openxmlformats.org/officeDocument/2006/relationships/worksheet" Target="/xl/worksheets/sheet1.xml" Id="R4c2fa38f75334c84" /><Relationship Type="http://schemas.openxmlformats.org/officeDocument/2006/relationships/worksheet" Target="/xl/worksheets/sheet2.xml" Id="R5859b7e9430a403d" /><Relationship Type="http://schemas.openxmlformats.org/officeDocument/2006/relationships/worksheet" Target="/xl/worksheets/sheet3.xml" Id="Raacdc2c4d01941f0" /><Relationship Type="http://schemas.openxmlformats.org/officeDocument/2006/relationships/worksheet" Target="/xl/worksheets/sheet4.xml" Id="R91d48692e3c043db" /><Relationship Type="http://schemas.openxmlformats.org/officeDocument/2006/relationships/worksheet" Target="/xl/worksheets/sheet5.xml" Id="R40aef52828b64657" /><Relationship Type="http://schemas.openxmlformats.org/officeDocument/2006/relationships/worksheet" Target="/xl/worksheets/sheet6.xml" Id="R2f97ad6d0ca44d26" /><Relationship Type="http://schemas.openxmlformats.org/officeDocument/2006/relationships/worksheet" Target="/xl/worksheets/sheet7.xml" Id="R6a90874c61e54360" /><Relationship Type="http://schemas.openxmlformats.org/officeDocument/2006/relationships/worksheet" Target="/xl/worksheets/sheet8.xml" Id="R16a5ba4936364f62" /><Relationship Type="http://schemas.openxmlformats.org/officeDocument/2006/relationships/worksheet" Target="/xl/worksheets/sheet9.xml" Id="Ra529a5e727af4491" /><Relationship Type="http://schemas.openxmlformats.org/officeDocument/2006/relationships/worksheet" Target="/xl/worksheets/sheet10.xml" Id="Ra31cf87b4b2b4a3d" /><Relationship Type="http://schemas.openxmlformats.org/officeDocument/2006/relationships/worksheet" Target="/xl/worksheets/sheet11.xml" Id="R8f79541274a8470c" /><Relationship Type="http://schemas.openxmlformats.org/officeDocument/2006/relationships/worksheet" Target="/xl/worksheets/sheet12.xml" Id="R53c371e475d94389" /><Relationship Type="http://schemas.openxmlformats.org/officeDocument/2006/relationships/worksheet" Target="/xl/worksheets/sheet13.xml" Id="R0dd80811ad3342a3" /><Relationship Type="http://schemas.openxmlformats.org/officeDocument/2006/relationships/worksheet" Target="/xl/worksheets/sheet14.xml" Id="Red07db30deeb4c99" /><Relationship Type="http://schemas.openxmlformats.org/officeDocument/2006/relationships/worksheet" Target="/xl/worksheets/sheet15.xml" Id="R1f3f19bb39854e87" /><Relationship Type="http://schemas.openxmlformats.org/officeDocument/2006/relationships/worksheet" Target="/xl/worksheets/sheet16.xml" Id="R7d9522460bad4e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3b758e2e024b99" /><Relationship Type="http://schemas.openxmlformats.org/officeDocument/2006/relationships/chart" Target="/xl/drawings/charts/chart2.xml" Id="R5763f58823e0441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57718ba9a984b73" /><Relationship Type="http://schemas.openxmlformats.org/officeDocument/2006/relationships/chart" Target="/xl/drawings/charts/chart4.xml" Id="Rbef2467c2f62412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Россия: 2019–2024, нормированный индекс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Births (2019=100)</c:v>
          </c:tx>
          <c:spPr>
            <a:solidFill xmlns:a="http://schemas.openxmlformats.org/drawingml/2006/main">
              <a:srgbClr val="14213D"/>
            </a:solidFill>
          </c:spPr>
          <c:marker>
            <c:symbol val="none"/>
          </c:marker>
          <c:cat>
            <c:strRef>
              <c:f>'Summary'!$A$20:$A$25</c:f>
              <c:strCache>
                <c:ptCount val="0"/>
              </c:strCache>
            </c:strRef>
          </c:cat>
          <c:val>
            <c:numRef>
              <c:f>'Summary'!$B$20:$B$25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Preschool children (2019=100)</c:v>
          </c:tx>
          <c:spPr>
            <a:solidFill xmlns:a="http://schemas.openxmlformats.org/drawingml/2006/main">
              <a:srgbClr val="C44536"/>
            </a:solidFill>
          </c:spPr>
          <c:marker>
            <c:symbol val="none"/>
          </c:marker>
          <c:cat>
            <c:strRef>
              <c:f>'Summary'!$A$20:$A$25</c:f>
              <c:strCache>
                <c:ptCount val="0"/>
              </c:strCache>
            </c:strRef>
          </c:cat>
          <c:val>
            <c:numRef>
              <c:f>'Summary'!$C$20:$C$25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Add-ed registrations (2019=100)</c:v>
          </c:tx>
          <c:spPr>
            <a:solidFill xmlns:a="http://schemas.openxmlformats.org/drawingml/2006/main">
              <a:srgbClr val="1D4ED8"/>
            </a:solidFill>
          </c:spPr>
          <c:marker>
            <c:symbol val="none"/>
          </c:marker>
          <c:cat>
            <c:strRef>
              <c:f>'Summary'!$A$20:$A$25</c:f>
              <c:strCache>
                <c:ptCount val="0"/>
              </c:strCache>
            </c:strRef>
          </c:cat>
          <c:val>
            <c:numRef>
              <c:f>'Summary'!$E$20:$E$25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40"/>
          <c:min val="7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Реальный индекс сегментов в 2030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Preschool</c:v>
          </c:tx>
          <c:cat>
            <c:strRef>
              <c:f>'Summary'!$A$30:$A$32</c:f>
              <c:strCache>
                <c:ptCount val="0"/>
              </c:strCache>
            </c:strRef>
          </c:cat>
          <c:val>
            <c:numRef>
              <c:f>'Summary'!$B$30:$B$32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Private school</c:v>
          </c:tx>
          <c:cat>
            <c:strRef>
              <c:f>'Summary'!$A$30:$A$32</c:f>
              <c:strCache>
                <c:ptCount val="0"/>
              </c:strCache>
            </c:strRef>
          </c:cat>
          <c:val>
            <c:numRef>
              <c:f>'Summary'!$C$30:$C$32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Additional education</c:v>
          </c:tx>
          <c:cat>
            <c:strRef>
              <c:f>'Summary'!$A$30:$A$32</c:f>
              <c:strCache>
                <c:ptCount val="0"/>
              </c:strCache>
            </c:strRef>
          </c:cat>
          <c:val>
            <c:numRef>
              <c:f>'Summary'!$D$30:$D$32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40"/>
          <c:min val="6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Историческая динамика, нормированный индекс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Births (2019=100)</c:v>
          </c:tx>
          <c:spPr>
            <a:solidFill xmlns:a="http://schemas.openxmlformats.org/drawingml/2006/main">
              <a:srgbClr val="14213D"/>
            </a:solidFill>
          </c:spPr>
          <c:marker>
            <c:symbol val="none"/>
          </c:marker>
          <c:cat>
            <c:strRef>
              <c:f>'Scenarios_2030'!$K$6:$K$11</c:f>
              <c:strCache>
                <c:ptCount val="0"/>
              </c:strCache>
            </c:strRef>
          </c:cat>
          <c:val>
            <c:numRef>
              <c:f>'Scenarios_2030'!$L$6:$L$11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Preschool children (2019=100)</c:v>
          </c:tx>
          <c:spPr>
            <a:solidFill xmlns:a="http://schemas.openxmlformats.org/drawingml/2006/main">
              <a:srgbClr val="C44536"/>
            </a:solidFill>
          </c:spPr>
          <c:marker>
            <c:symbol val="none"/>
          </c:marker>
          <c:cat>
            <c:strRef>
              <c:f>'Scenarios_2030'!$K$6:$K$11</c:f>
              <c:strCache>
                <c:ptCount val="0"/>
              </c:strCache>
            </c:strRef>
          </c:cat>
          <c:val>
            <c:numRef>
              <c:f>'Scenarios_2030'!$M$6:$M$11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Add-ed registrations (2019=100)</c:v>
          </c:tx>
          <c:spPr>
            <a:solidFill xmlns:a="http://schemas.openxmlformats.org/drawingml/2006/main">
              <a:srgbClr val="1D4ED8"/>
            </a:solidFill>
          </c:spPr>
          <c:marker>
            <c:symbol val="none"/>
          </c:marker>
          <c:cat>
            <c:strRef>
              <c:f>'Scenarios_2030'!$K$6:$K$11</c:f>
              <c:strCache>
                <c:ptCount val="0"/>
              </c:strCache>
            </c:strRef>
          </c:cat>
          <c:val>
            <c:numRef>
              <c:f>'Scenarios_2030'!$O$6:$O$11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40"/>
          <c:min val="7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Сценарии 2030: реальный индекс, 2024=100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Preschool</c:v>
          </c:tx>
          <c:cat>
            <c:strRef>
              <c:f>'Scenarios_2030'!$K$16:$K$18</c:f>
              <c:strCache>
                <c:ptCount val="0"/>
              </c:strCache>
            </c:strRef>
          </c:cat>
          <c:val>
            <c:numRef>
              <c:f>'Scenarios_2030'!$L$16:$L$18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Private school</c:v>
          </c:tx>
          <c:cat>
            <c:strRef>
              <c:f>'Scenarios_2030'!$K$16:$K$18</c:f>
              <c:strCache>
                <c:ptCount val="0"/>
              </c:strCache>
            </c:strRef>
          </c:cat>
          <c:val>
            <c:numRef>
              <c:f>'Scenarios_2030'!$M$16:$M$18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Additional education</c:v>
          </c:tx>
          <c:cat>
            <c:strRef>
              <c:f>'Scenarios_2030'!$K$16:$K$18</c:f>
              <c:strCache>
                <c:ptCount val="0"/>
              </c:strCache>
            </c:strRef>
          </c:cat>
          <c:val>
            <c:numRef>
              <c:f>'Scenarios_2030'!$N$16:$N$18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40"/>
          <c:min val="6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17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3b758e2e024b99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63f58823e044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16</xdr:col>
      <xdr:colOff>0</xdr:colOff>
      <xdr:row>4</xdr:row>
      <xdr:rowOff>0</xdr:rowOff>
    </xdr:from>
    <xdr:to>
      <xdr:col>26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7718ba9a984b73"/>
        </a:graphicData>
      </a:graphic>
    </xdr:graphicFrame>
    <xdr:clientData/>
  </xdr:twoCellAnchor>
  <xdr:twoCellAnchor>
    <xdr:from>
      <xdr:col>16</xdr:col>
      <xdr:colOff>0</xdr:colOff>
      <xdr:row>23</xdr:row>
      <xdr:rowOff>0</xdr:rowOff>
    </xdr:from>
    <xdr:to>
      <xdr:col>26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f2467c2f62412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a451d6f04543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da3ab6ddd8504f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0" customHeight="1">
      <x:c r="A1" s="4" t="str">
        <x:v>ArtHello — стратегическая рыночная разведка 2026–2030</x:v>
      </x:c>
      <x:c r="B1" s="4" t="str">
        <x:v>ArtHello — стратегическая рыночная разведка 2026–2030</x:v>
      </x:c>
      <x:c r="C1" s="4" t="str">
        <x:v>ArtHello — стратегическая рыночная разведка 2026–2030</x:v>
      </x:c>
      <x:c r="D1" s="4" t="str">
        <x:v>ArtHello — стратегическая рыночная разведка 2026–2030</x:v>
      </x:c>
      <x:c r="E1" s="4" t="str">
        <x:v>ArtHello — стратегическая рыночная разведка 2026–2030</x:v>
      </x:c>
      <x:c r="F1" s="4" t="str">
        <x:v>ArtHello — стратегическая рыночная разведка 2026–2030</x:v>
      </x:c>
      <x:c r="G1" s="4" t="str">
        <x:v>ArtHello — стратегическая рыночная разведка 2026–2030</x:v>
      </x:c>
      <x:c r="H1" s="4" t="str">
        <x:v>ArtHello — стратегическая рыночная разведка 2026–2030</x:v>
      </x:c>
      <x:c r="I1" s="4" t="str">
        <x:v>ArtHello — стратегическая рыночная разведка 2026–2030</x:v>
      </x:c>
      <x:c r="J1" s="4" t="str">
        <x:v>ArtHello — стратегическая рыночная разведка 2026–2030</x:v>
      </x:c>
      <x:c r="K1" s="4" t="str">
        <x:v>ArtHello — стратегическая рыночная разведка 2026–2030</x:v>
      </x:c>
      <x:c r="L1" s="4" t="str">
        <x:v>ArtHello — стратегическая рыночная разведка 2026–2030</x:v>
      </x:c>
    </x:row>
    <x:row r="2" ht="32" customHeight="1">
      <x:c r="A2" s="8" t="str">
        <x:v>Дата среза: 25 июля 2026 года · Решения собственника, рынок России / Санкт‑Петербурга / мира · Формулы и источники доступны на отдельных листах</x:v>
      </x:c>
      <x:c r="B2" s="8" t="str">
        <x:v>Дата среза: 25 июля 2026 года · Решения собственника, рынок России / Санкт‑Петербурга / мира · Формулы и источники доступны на отдельных листах</x:v>
      </x:c>
      <x:c r="C2" s="8" t="str">
        <x:v>Дата среза: 25 июля 2026 года · Решения собственника, рынок России / Санкт‑Петербурга / мира · Формулы и источники доступны на отдельных листах</x:v>
      </x:c>
      <x:c r="D2" s="8" t="str">
        <x:v>Дата среза: 25 июля 2026 года · Решения собственника, рынок России / Санкт‑Петербурга / мира · Формулы и источники доступны на отдельных листах</x:v>
      </x:c>
      <x:c r="E2" s="8" t="str">
        <x:v>Дата среза: 25 июля 2026 года · Решения собственника, рынок России / Санкт‑Петербурга / мира · Формулы и источники доступны на отдельных листах</x:v>
      </x:c>
      <x:c r="F2" s="8" t="str">
        <x:v>Дата среза: 25 июля 2026 года · Решения собственника, рынок России / Санкт‑Петербурга / мира · Формулы и источники доступны на отдельных листах</x:v>
      </x:c>
      <x:c r="G2" s="8" t="str">
        <x:v>Дата среза: 25 июля 2026 года · Решения собственника, рынок России / Санкт‑Петербурга / мира · Формулы и источники доступны на отдельных листах</x:v>
      </x:c>
      <x:c r="H2" s="8" t="str">
        <x:v>Дата среза: 25 июля 2026 года · Решения собственника, рынок России / Санкт‑Петербурга / мира · Формулы и источники доступны на отдельных листах</x:v>
      </x:c>
      <x:c r="I2" s="8" t="str">
        <x:v>Дата среза: 25 июля 2026 года · Решения собственника, рынок России / Санкт‑Петербурга / мира · Формулы и источники доступны на отдельных листах</x:v>
      </x:c>
      <x:c r="J2" s="8" t="str">
        <x:v>Дата среза: 25 июля 2026 года · Решения собственника, рынок России / Санкт‑Петербурга / мира · Формулы и источники доступны на отдельных листах</x:v>
      </x:c>
      <x:c r="K2" s="8" t="str">
        <x:v>Дата среза: 25 июля 2026 года · Решения собственника, рынок России / Санкт‑Петербурга / мира · Формулы и источники доступны на отдельных листах</x:v>
      </x:c>
      <x:c r="L2" s="8" t="str">
        <x:v>Дата среза: 25 июля 2026 года · Решения собственника, рынок России / Санкт‑Петербурга / мира · Формулы и источники доступны на отдельных листах</x:v>
      </x:c>
    </x:row>
    <x:row r="4" ht="22" customHeight="1">
      <x:c r="A4" s="41" t="str">
        <x:v>Честный вердикт собственнику</x:v>
      </x:c>
      <x:c r="B4" s="41" t="str">
        <x:v>Честный вердикт собственнику</x:v>
      </x:c>
      <x:c r="C4" s="41" t="str">
        <x:v>Честный вердикт собственнику</x:v>
      </x:c>
      <x:c r="D4" s="41" t="str">
        <x:v>Честный вердикт собственнику</x:v>
      </x:c>
      <x:c r="E4" s="41" t="str">
        <x:v>Честный вердикт собственнику</x:v>
      </x:c>
      <x:c r="F4" s="41" t="str">
        <x:v>Честный вердикт собственнику</x:v>
      </x:c>
      <x:c r="G4" s="41" t="str">
        <x:v>Честный вердикт собственнику</x:v>
      </x:c>
      <x:c r="H4" s="41" t="str">
        <x:v>Честный вердикт собственнику</x:v>
      </x:c>
      <x:c r="J4" s="41" t="str">
        <x:v>Ключевые цифры</x:v>
      </x:c>
      <x:c r="K4" s="41" t="str">
        <x:v>Ключевые цифры</x:v>
      </x:c>
      <x:c r="L4" s="41" t="str">
        <x:v>Ключевые цифры</x:v>
      </x:c>
    </x:row>
    <x:row r="5" ht="30" customHeight="1">
      <x:c r="A5" s="71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B5" s="72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C5" s="72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D5" s="72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E5" s="72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F5" s="72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G5" s="72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H5" s="73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J5" s="14" t="str">
        <x:v>Показатель</x:v>
      </x:c>
      <x:c r="K5" s="14" t="str">
        <x:v>Значение</x:v>
      </x:c>
      <x:c r="L5" s="14" t="str">
        <x:v>Статус</x:v>
      </x:c>
    </x:row>
    <x:row r="6" ht="36" customHeight="1">
      <x:c r="A6" s="74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B6" s="75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C6" s="75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D6" s="75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E6" s="75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F6" s="75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G6" s="75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H6" s="76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J6" s="18" t="str">
        <x:v>Договоры сада + школы</x:v>
      </x:c>
      <x:c r="K6" s="45" t="n">
        <x:f>ArtHello!B6</x:f>
        <x:v>93</x:v>
      </x:c>
      <x:c r="L6" s="18" t="str">
        <x:v>ПРЕДВАРИТЕЛЬНО</x:v>
      </x:c>
    </x:row>
    <x:row r="7" ht="36" customHeight="1">
      <x:c r="A7" s="74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B7" s="75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C7" s="75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D7" s="75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E7" s="75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F7" s="75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G7" s="75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H7" s="76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J7" s="18" t="str">
        <x:v>Договорная сумма / мес.</x:v>
      </x:c>
      <x:c r="K7" s="46" t="n">
        <x:f>ArtHello!B7</x:f>
        <x:v>5633349</x:v>
      </x:c>
      <x:c r="L7" s="18" t="str">
        <x:v>ПРЕДВАРИТЕЛЬНО</x:v>
      </x:c>
    </x:row>
    <x:row r="8" ht="36" customHeight="1">
      <x:c r="A8" s="77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B8" s="78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C8" s="78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D8" s="78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E8" s="78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F8" s="78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G8" s="78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H8" s="79" t="str">
        <x:v>ArtHello — заметный локальный игрок среднего‑верхнего ценового сегмента северного Санкт‑Петербурга, но лидерство, масштабируемость и фактическая прибыльность не доказаны. Рынок не даёт права расти «по номинальной выручке»: рождаемость снизилась, частный дошкольный сектор остаётся малым, а рост частных школ и допобразования сопровождается высокой трудоёмкостью. Приоритет на 12 месяцев — финансовая правда, стабильность команды, связанный с оплатами funnel, доказуемый прогресс ребёнка и один asset‑light пилот «После школы: Projects». Новая школа, франшиза и крупный CAPEX — только после двух циклов положительного вклада и работы без ежедневного собственника.</x:v>
      </x:c>
      <x:c r="J8" s="18" t="str">
        <x:v>ФОТ / договорная сумма</x:v>
      </x:c>
      <x:c r="K8" s="45" t="str">
        <x:f>ROUND(ArtHello!B10*100,1)&amp;"% – "&amp;ROUND(ArtHello!B11*100,1)&amp;"%"</x:f>
        <x:v>62.8% – 70.7%</x:v>
      </x:c>
      <x:c r="L8" s="18" t="str">
        <x:v>РАСЧЁТ</x:v>
      </x:c>
    </x:row>
    <x:row r="9">
      <x:c r="J9" s="18" t="str">
        <x:v>Частные школьники РФ</x:v>
      </x:c>
      <x:c r="K9" s="18" t="str">
        <x:v>1,30%</x:v>
      </x:c>
      <x:c r="L9" s="25" t="str">
        <x:v>ФАКТ 2024/25</x:v>
      </x:c>
    </x:row>
    <x:row r="10" ht="22" customHeight="1">
      <x:c r="A10" s="41" t="str">
        <x:v>Пять приоритетных действий</x:v>
      </x:c>
      <x:c r="B10" s="41" t="str">
        <x:v>Пять приоритетных действий</x:v>
      </x:c>
      <x:c r="C10" s="41" t="str">
        <x:v>Пять приоритетных действий</x:v>
      </x:c>
      <x:c r="D10" s="41" t="str">
        <x:v>Пять приоритетных действий</x:v>
      </x:c>
      <x:c r="E10" s="41" t="str">
        <x:v>Пять приоритетных действий</x:v>
      </x:c>
      <x:c r="F10" s="41" t="str">
        <x:v>Пять приоритетных действий</x:v>
      </x:c>
      <x:c r="G10" s="41" t="str">
        <x:v>Пять приоритетных действий</x:v>
      </x:c>
      <x:c r="H10" s="41" t="str">
        <x:v>Пять приоритетных действий</x:v>
      </x:c>
      <x:c r="J10" s="18" t="str">
        <x:v>Рождения РФ 2019→2024</x:v>
      </x:c>
      <x:c r="K10" s="18" t="str">
        <x:v>-17,5%</x:v>
      </x:c>
      <x:c r="L10" s="25" t="str">
        <x:v>ФАКТ</x:v>
      </x:c>
    </x:row>
    <x:row r="11" ht="30" customHeight="1">
      <x:c r="A11" s="14" t="str">
        <x:v>#</x:v>
      </x:c>
      <x:c r="B11" s="14" t="str">
        <x:v>Категория</x:v>
      </x:c>
      <x:c r="C11" s="14" t="str">
        <x:v>Действие</x:v>
      </x:c>
      <x:c r="D11" s="14" t="str">
        <x:v>Бюджет</x:v>
      </x:c>
      <x:c r="E11" s="14" t="str">
        <x:v>90‑дневный gate</x:v>
      </x:c>
      <x:c r="J11" s="18" t="str">
        <x:v>SAM/SOM Санкт-Петербурга</x:v>
      </x:c>
      <x:c r="K11" s="32" t="str">
        <x:v>НЕ ДОКАЗАНО</x:v>
      </x:c>
      <x:c r="L11" s="18" t="str">
        <x:v>INPUT NEEDED</x:v>
      </x:c>
    </x:row>
    <x:row r="12">
      <x:c r="A12" s="18" t="n">
        <x:v>1</x:v>
      </x:c>
      <x:c r="B12" s="18" t="str">
        <x:v>ИСПРАВИТЬ</x:v>
      </x:c>
      <x:c r="C12" s="18" t="str">
        <x:v>Закрыть финансовую правду по продуктам</x:v>
      </x:c>
      <x:c r="D12" s="43" t="n">
        <x:v>250000</x:v>
      </x:c>
      <x:c r="E12" s="18" t="str">
        <x:v>банк ↔ договор ≤2%; 100% прямого ФОТ</x:v>
      </x:c>
    </x:row>
    <x:row r="13">
      <x:c r="A13" s="18" t="n">
        <x:v>2</x:v>
      </x:c>
      <x:c r="B13" s="18" t="str">
        <x:v>ЗАЩИТИТЬ</x:v>
      </x:c>
      <x:c r="C13" s="18" t="str">
        <x:v>Стабилизировать взрослых и причины оттока</x:v>
      </x:c>
      <x:c r="D13" s="43" t="n">
        <x:v>180000</x:v>
      </x:c>
      <x:c r="E13" s="18" t="str">
        <x:v>замены −30%; сервисный отток −20%</x:v>
      </x:c>
    </x:row>
    <x:row r="14">
      <x:c r="A14" s="18" t="n">
        <x:v>3</x:v>
      </x:c>
      <x:c r="B14" s="18" t="str">
        <x:v>ИСПРАВИТЬ</x:v>
      </x:c>
      <x:c r="C14" s="18" t="str">
        <x:v>Связать канал с третьей оплатой</x:v>
      </x:c>
      <x:c r="D14" s="43" t="n">
        <x:v>300000</x:v>
      </x:c>
      <x:c r="E14" s="18" t="str">
        <x:v>≥90% атрибуции; CAC по офферу</x:v>
      </x:c>
    </x:row>
    <x:row r="15">
      <x:c r="A15" s="18" t="n">
        <x:v>4</x:v>
      </x:c>
      <x:c r="B15" s="18" t="str">
        <x:v>ЗАЩИТИТЬ</x:v>
      </x:c>
      <x:c r="C15" s="18" t="str">
        <x:v>Сделать прогресс ребёнка доказуемым</x:v>
      </x:c>
      <x:c r="D15" s="43" t="n">
        <x:v>200000</x:v>
      </x:c>
      <x:c r="E15" s="18" t="str">
        <x:v>≥80% отчётов; renewal пилота ≥80%</x:v>
      </x:c>
    </x:row>
    <x:row r="16">
      <x:c r="A16" s="18" t="n">
        <x:v>5</x:v>
      </x:c>
      <x:c r="B16" s="18" t="str">
        <x:v>ПРОТЕСТИРОВАТЬ</x:v>
      </x:c>
      <x:c r="C16" s="18" t="str">
        <x:v>После школы: Projects</x:v>
      </x:c>
      <x:c r="D16" s="43" t="n">
        <x:v>450000</x:v>
      </x:c>
      <x:c r="E16" s="18" t="str">
        <x:v>16 оплат; completion ≥85%; renewal ≥60%; вклад ≥25%</x:v>
      </x:c>
    </x:row>
    <x:row r="18" ht="22" customHeight="1">
      <x:c r="A18" s="41" t="str">
        <x:v>Историческая динамика: индекс</x:v>
      </x:c>
      <x:c r="B18" s="41" t="str">
        <x:v>Историческая динамика: индекс</x:v>
      </x:c>
      <x:c r="C18" s="41" t="str">
        <x:v>Историческая динамика: индекс</x:v>
      </x:c>
      <x:c r="D18" s="41" t="str">
        <x:v>Историческая динамика: индекс</x:v>
      </x:c>
      <x:c r="E18" s="41" t="str">
        <x:v>Историческая динамика: индекс</x:v>
      </x:c>
    </x:row>
    <x:row r="19" ht="30" customHeight="1">
      <x:c r="A19" s="14" t="str">
        <x:f>Scenarios_2030!K5</x:f>
        <x:v>Year</x:v>
      </x:c>
      <x:c r="B19" s="14" t="str">
        <x:f>Scenarios_2030!L5</x:f>
        <x:v>Births (2019=100)</x:v>
      </x:c>
      <x:c r="C19" s="14" t="str">
        <x:f>Scenarios_2030!M5</x:f>
        <x:v>Preschool children (2019=100)</x:v>
      </x:c>
      <x:c r="D19" s="14" t="str">
        <x:f>Scenarios_2030!N5</x:f>
        <x:v>Private school students (2021=100)</x:v>
      </x:c>
      <x:c r="E19" s="14" t="str">
        <x:f>Scenarios_2030!O5</x:f>
        <x:v>Add-ed registrations (2019=100)</x:v>
      </x:c>
    </x:row>
    <x:row r="20">
      <x:c r="A20" s="18" t="n">
        <x:f>Scenarios_2030!K6</x:f>
        <x:v>2019</x:v>
      </x:c>
      <x:c r="B20" s="42" t="n">
        <x:f>Scenarios_2030!L6</x:f>
        <x:v>100</x:v>
      </x:c>
      <x:c r="C20" s="42" t="n">
        <x:f>Scenarios_2030!M6</x:f>
        <x:v>100</x:v>
      </x:c>
      <x:c r="D20" s="42"/>
      <x:c r="E20" s="42" t="n">
        <x:f>Scenarios_2030!O6</x:f>
        <x:v>100</x:v>
      </x:c>
    </x:row>
    <x:row r="21">
      <x:c r="A21" s="18" t="n">
        <x:f>Scenarios_2030!K7</x:f>
        <x:v>2020</x:v>
      </x:c>
      <x:c r="B21" s="42" t="n">
        <x:f>Scenarios_2030!L7</x:f>
        <x:v>96.99137247699979</x:v>
      </x:c>
      <x:c r="C21" s="42" t="n">
        <x:f>Scenarios_2030!M7</x:f>
        <x:v>97.84663520317615</x:v>
      </x:c>
      <x:c r="D21" s="42"/>
      <x:c r="E21" s="42" t="n">
        <x:f>Scenarios_2030!O7</x:f>
        <x:v>97.20973411244167</x:v>
      </x:c>
    </x:row>
    <x:row r="22">
      <x:c r="A22" s="18" t="n">
        <x:f>Scenarios_2030!K8</x:f>
        <x:v>2021</x:v>
      </x:c>
      <x:c r="B22" s="42" t="n">
        <x:f>Scenarios_2030!L8</x:f>
        <x:v>94.40804443262118</x:v>
      </x:c>
      <x:c r="C22" s="42" t="n">
        <x:f>Scenarios_2030!M8</x:f>
        <x:v>96.50176817805357</x:v>
      </x:c>
      <x:c r="D22" s="42" t="n">
        <x:f>Scenarios_2030!N8</x:f>
        <x:v>100</x:v>
      </x:c>
      <x:c r="E22" s="42" t="n">
        <x:f>Scenarios_2030!O8</x:f>
        <x:v>104.92507758017243</x:v>
      </x:c>
    </x:row>
    <x:row r="23">
      <x:c r="A23" s="18" t="n">
        <x:f>Scenarios_2030!K9</x:f>
        <x:v>2022</x:v>
      </x:c>
      <x:c r="B23" s="42" t="n">
        <x:f>Scenarios_2030!L9</x:f>
        <x:v>88.05009067744083</x:v>
      </x:c>
      <x:c r="C23" s="42" t="n">
        <x:f>Scenarios_2030!M9</x:f>
        <x:v>92.13062168877437</x:v>
      </x:c>
      <x:c r="D23" s="42" t="n">
        <x:f>Scenarios_2030!N9</x:f>
        <x:v>113.01587301587301</x:v>
      </x:c>
      <x:c r="E23" s="42" t="n">
        <x:f>Scenarios_2030!O9</x:f>
        <x:v>112.66288092894068</x:v>
      </x:c>
    </x:row>
    <x:row r="24">
      <x:c r="A24" s="18" t="n">
        <x:f>Scenarios_2030!K10</x:f>
        <x:v>2023</x:v>
      </x:c>
      <x:c r="B24" s="42" t="n">
        <x:f>Scenarios_2030!L10</x:f>
        <x:v>85.40680614202937</x:v>
      </x:c>
      <x:c r="C24" s="42" t="n">
        <x:f>Scenarios_2030!M10</x:f>
        <x:v>87.62012436404748</x:v>
      </x:c>
      <x:c r="D24" s="42" t="n">
        <x:f>Scenarios_2030!N10</x:f>
        <x:v>130.79365079365078</x:v>
      </x:c>
      <x:c r="E24" s="42" t="n">
        <x:f>Scenarios_2030!O10</x:f>
        <x:v>123.94447917407531</x:v>
      </x:c>
    </x:row>
    <x:row r="25">
      <x:c r="A25" s="18" t="n">
        <x:f>Scenarios_2030!K11</x:f>
        <x:v>2024</x:v>
      </x:c>
      <x:c r="B25" s="42" t="n">
        <x:f>Scenarios_2030!L11</x:f>
        <x:v>82.53524131812455</x:v>
      </x:c>
      <x:c r="C25" s="42" t="n">
        <x:f>Scenarios_2030!M11</x:f>
        <x:v>83.9431027909606</x:v>
      </x:c>
      <x:c r="D25" s="42" t="n">
        <x:f>Scenarios_2030!N11</x:f>
        <x:v>148.57142857142858</x:v>
      </x:c>
      <x:c r="E25" s="42" t="n">
        <x:f>Scenarios_2030!O11</x:f>
        <x:v>130.89281770437555</x:v>
      </x:c>
    </x:row>
    <x:row r="28" ht="22" customHeight="1">
      <x:c r="A28" s="41" t="str">
        <x:v>Сценарии 2030: 2024=100</x:v>
      </x:c>
      <x:c r="B28" s="41" t="str">
        <x:v>Сценарии 2030: 2024=100</x:v>
      </x:c>
      <x:c r="C28" s="41" t="str">
        <x:v>Сценарии 2030: 2024=100</x:v>
      </x:c>
      <x:c r="D28" s="41" t="str">
        <x:v>Сценарии 2030: 2024=100</x:v>
      </x:c>
    </x:row>
    <x:row r="29" ht="30" customHeight="1">
      <x:c r="A29" s="14" t="str">
        <x:f>Scenarios_2030!K15</x:f>
        <x:v>Scenario</x:v>
      </x:c>
      <x:c r="B29" s="14" t="str">
        <x:f>Scenarios_2030!L15</x:f>
        <x:v>Preschool</x:v>
      </x:c>
      <x:c r="C29" s="14" t="str">
        <x:f>Scenarios_2030!M15</x:f>
        <x:v>Private school</x:v>
      </x:c>
      <x:c r="D29" s="14" t="str">
        <x:f>Scenarios_2030!N15</x:f>
        <x:v>Additional education</x:v>
      </x:c>
    </x:row>
    <x:row r="30">
      <x:c r="A30" s="18" t="str">
        <x:f>Scenarios_2030!K16</x:f>
        <x:v>negative</x:v>
      </x:c>
      <x:c r="B30" s="42" t="n">
        <x:f>Scenarios_2030!L16</x:f>
        <x:v>69.69999999999999</x:v>
      </x:c>
      <x:c r="C30" s="42" t="n">
        <x:f>Scenarios_2030!M16</x:f>
        <x:v>76.9</x:v>
      </x:c>
      <x:c r="D30" s="42" t="n">
        <x:f>Scenarios_2030!N16</x:f>
        <x:v>72.89999999999999</x:v>
      </x:c>
    </x:row>
    <x:row r="31">
      <x:c r="A31" s="18" t="str">
        <x:f>Scenarios_2030!K17</x:f>
        <x:v>base</x:v>
      </x:c>
      <x:c r="B31" s="42" t="n">
        <x:f>Scenarios_2030!L17</x:f>
        <x:v>92.60000000000001</x:v>
      </x:c>
      <x:c r="C31" s="42" t="n">
        <x:f>Scenarios_2030!M17</x:f>
        <x:v>111.7</x:v>
      </x:c>
      <x:c r="D31" s="42" t="n">
        <x:f>Scenarios_2030!N17</x:f>
        <x:v>111.80000000000001</x:v>
      </x:c>
    </x:row>
    <x:row r="32">
      <x:c r="A32" s="18" t="str">
        <x:f>Scenarios_2030!K18</x:f>
        <x:v>strong</x:v>
      </x:c>
      <x:c r="B32" s="42" t="n">
        <x:f>Scenarios_2030!L18</x:f>
        <x:v>125.89999999999999</x:v>
      </x:c>
      <x:c r="C32" s="42" t="n">
        <x:f>Scenarios_2030!M18</x:f>
        <x:v>160.7</x:v>
      </x:c>
      <x:c r="D32" s="42" t="n">
        <x:f>Scenarios_2030!N18</x:f>
        <x:v>163.5</x:v>
      </x:c>
    </x:row>
    <x:row r="35" ht="22" customHeight="1">
      <x:c r="A35" s="41" t="str">
        <x:v>Стратегическое направление до 2030</x:v>
      </x:c>
      <x:c r="B35" s="41" t="str">
        <x:v>Стратегическое направление до 2030</x:v>
      </x:c>
      <x:c r="C35" s="41" t="str">
        <x:v>Стратегическое направление до 2030</x:v>
      </x:c>
      <x:c r="D35" s="41" t="str">
        <x:v>Стратегическое направление до 2030</x:v>
      </x:c>
      <x:c r="E35" s="41" t="str">
        <x:v>Стратегическое направление до 2030</x:v>
      </x:c>
    </x:row>
    <x:row r="36" ht="30" customHeight="1">
      <x:c r="A36" s="98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B36" s="99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C36" s="99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D36" s="99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E36" s="100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</x:row>
    <x:row r="37" ht="30" customHeight="1">
      <x:c r="A37" s="101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B37" s="102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C37" s="102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D37" s="102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E37" s="103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</x:row>
    <x:row r="38" ht="30" customHeight="1">
      <x:c r="A38" s="101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B38" s="102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C38" s="102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D38" s="102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E38" s="103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</x:row>
    <x:row r="39" ht="30" customHeight="1">
      <x:c r="A39" s="101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B39" s="102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C39" s="102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D39" s="102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E39" s="103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</x:row>
    <x:row r="40" ht="30" customHeight="1">
      <x:c r="A40" s="101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B40" s="102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C40" s="102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D40" s="102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E40" s="103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</x:row>
    <x:row r="41" ht="30" customHeight="1">
      <x:c r="A41" s="101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B41" s="102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C41" s="102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D41" s="102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E41" s="103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</x:row>
    <x:row r="42" ht="30" customHeight="1">
      <x:c r="A42" s="101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B42" s="102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C42" s="102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D42" s="102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E42" s="103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</x:row>
    <x:row r="43" ht="30" customHeight="1">
      <x:c r="A43" s="104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B43" s="105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C43" s="105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D43" s="105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  <x:c r="E43" s="106" t="str">
        <x:v>Роль ArtHello: не «ещё одна частная школа», а доказуемая районная family‑education platform для детей 2–11 лет — безопасный полный день, стабильный взрослый, видимый прогресс и реальные проекты. Формат роста: сначала прибыльное ядро на существующих площадях; затем повторяемые after‑school/camp/family membership пакеты; только после этого — asset‑light satellites в проверенных catchment. AI — инструмент педагога и прозрачности для родителя, не самостоятельный продукт для ребёнка. К 2030 году масштаб считается доказанным только при двух повторяемых точках, 12 месяцах качества и положительного вклада без ежедневного участия собственника.</x:v>
      </x:c>
    </x:row>
  </x:sheetData>
  <x:mergeCells>
    <x:mergeCell ref="A1:L1"/>
    <x:mergeCell ref="A2:L2"/>
    <x:mergeCell ref="A4:H4"/>
    <x:mergeCell ref="A5:H8"/>
    <x:mergeCell ref="J4:L4"/>
    <x:mergeCell ref="A10:H10"/>
    <x:mergeCell ref="A18:E18"/>
    <x:mergeCell ref="A28:D28"/>
    <x:mergeCell ref="A35:E35"/>
    <x:mergeCell ref="A36:E43"/>
  </x:mergeCells>
  <x:pageMargins left="0.7" right="0.7" top="0.75" bottom="0.75" header="0.3" footer="0.3"/>
  <x:drawing xmlns:r="http://schemas.openxmlformats.org/officeDocument/2006/relationships" r:id="R9fa451d6f045438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18" hidden="0" customWidth="1"/>
    <x:col min="7" max="7" width="24" hidden="0" customWidth="1"/>
    <x:col min="8" max="8" width="45" hidden="0" customWidth="1"/>
  </x:cols>
  <x:sheetData>
    <x:row r="1" ht="30" customHeight="1">
      <x:c r="A1" s="4" t="str">
        <x:v>Допущения и входы модели</x:v>
      </x:c>
      <x:c r="B1" s="4" t="str">
        <x:v>Допущения и входы модели</x:v>
      </x:c>
      <x:c r="C1" s="4" t="str">
        <x:v>Допущения и входы модели</x:v>
      </x:c>
      <x:c r="D1" s="4" t="str">
        <x:v>Допущения и входы модели</x:v>
      </x:c>
      <x:c r="E1" s="4" t="str">
        <x:v>Допущения и входы модели</x:v>
      </x:c>
      <x:c r="F1" s="4" t="str">
        <x:v>Допущения и входы модели</x:v>
      </x:c>
      <x:c r="G1" s="4" t="str">
        <x:v>Допущения и входы модели</x:v>
      </x:c>
      <x:c r="H1" s="4" t="str">
        <x:v>Допущения и входы модели</x:v>
      </x:c>
    </x:row>
    <x:row r="2" ht="32" customHeight="1">
      <x:c r="A2" s="8" t="str">
        <x:v>Синие ячейки — изменяемые входы. Пустые критические входы намеренно оставлены пустыми: модель выводит «НЕ ДОКАЗАНО».</x:v>
      </x:c>
      <x:c r="B2" s="8" t="str">
        <x:v>Синие ячейки — изменяемые входы. Пустые критические входы намеренно оставлены пустыми: модель выводит «НЕ ДОКАЗАНО».</x:v>
      </x:c>
      <x:c r="C2" s="8" t="str">
        <x:v>Синие ячейки — изменяемые входы. Пустые критические входы намеренно оставлены пустыми: модель выводит «НЕ ДОКАЗАНО».</x:v>
      </x:c>
      <x:c r="D2" s="8" t="str">
        <x:v>Синие ячейки — изменяемые входы. Пустые критические входы намеренно оставлены пустыми: модель выводит «НЕ ДОКАЗАНО».</x:v>
      </x:c>
      <x:c r="E2" s="8" t="str">
        <x:v>Синие ячейки — изменяемые входы. Пустые критические входы намеренно оставлены пустыми: модель выводит «НЕ ДОКАЗАНО».</x:v>
      </x:c>
      <x:c r="F2" s="8" t="str">
        <x:v>Синие ячейки — изменяемые входы. Пустые критические входы намеренно оставлены пустыми: модель выводит «НЕ ДОКАЗАНО».</x:v>
      </x:c>
      <x:c r="G2" s="8" t="str">
        <x:v>Синие ячейки — изменяемые входы. Пустые критические входы намеренно оставлены пустыми: модель выводит «НЕ ДОКАЗАНО».</x:v>
      </x:c>
      <x:c r="H2" s="8" t="str">
        <x:v>Синие ячейки — изменяемые входы. Пустые критические входы намеренно оставлены пустыми: модель выводит «НЕ ДОКАЗАНО».</x:v>
      </x:c>
    </x:row>
    <x:row r="4" ht="30" customHeight="1">
      <x:c r="A4" s="14" t="str">
        <x:v>key</x:v>
      </x:c>
      <x:c r="B4" s="14" t="str">
        <x:v>low</x:v>
      </x:c>
      <x:c r="C4" s="14" t="str">
        <x:v>base</x:v>
      </x:c>
      <x:c r="D4" s="14" t="str">
        <x:v>high</x:v>
      </x:c>
      <x:c r="E4" s="14" t="str">
        <x:v>unit</x:v>
      </x:c>
      <x:c r="F4" s="14" t="str">
        <x:v>class</x:v>
      </x:c>
      <x:c r="G4" s="14" t="str">
        <x:v>source</x:v>
      </x:c>
      <x:c r="H4" s="14" t="str">
        <x:v>comment</x:v>
      </x:c>
    </x:row>
    <x:row r="5">
      <x:c r="A5" s="18" t="str">
        <x:v>research_date</x:v>
      </x:c>
      <x:c r="B5" s="21" t="str">
        <x:v>2026-07-25</x:v>
      </x:c>
      <x:c r="C5" s="21" t="str">
        <x:v>2026-07-25</x:v>
      </x:c>
      <x:c r="D5" s="21" t="str">
        <x:v>2026-07-25</x:v>
      </x:c>
      <x:c r="E5" s="18" t="str">
        <x:v>date</x:v>
      </x:c>
      <x:c r="F5" s="25" t="str">
        <x:v>FACT</x:v>
      </x:c>
      <x:c r="G5" s="18" t="str">
        <x:v>system date</x:v>
      </x:c>
      <x:c r="H5" s="18" t="str">
        <x:v>Все «сегодня» относятся к 25.07.2026</x:v>
      </x:c>
    </x:row>
    <x:row r="6">
      <x:c r="A6" s="18" t="str">
        <x:v>private_school_students_russia</x:v>
      </x:c>
      <x:c r="B6" s="21" t="n">
        <x:v>234000</x:v>
      </x:c>
      <x:c r="C6" s="21" t="n">
        <x:v>234000</x:v>
      </x:c>
      <x:c r="D6" s="21" t="n">
        <x:v>234000</x:v>
      </x:c>
      <x:c r="E6" s="18" t="str">
        <x:v>children</x:v>
      </x:c>
      <x:c r="F6" s="25" t="str">
        <x:v>FACT</x:v>
      </x:c>
      <x:c r="G6" s="18" t="str">
        <x:v>S1</x:v>
      </x:c>
      <x:c r="H6" s="18" t="str">
        <x:v>2024/25</x:v>
      </x:c>
    </x:row>
    <x:row r="7">
      <x:c r="A7" s="18" t="str">
        <x:v>private_school_monthly_price</x:v>
      </x:c>
      <x:c r="B7" s="23" t="n">
        <x:v>26021</x:v>
      </x:c>
      <x:c r="C7" s="23" t="n">
        <x:v>32521</x:v>
      </x:c>
      <x:c r="D7" s="23" t="n">
        <x:v>39067</x:v>
      </x:c>
      <x:c r="E7" s="18" t="str">
        <x:v>RUB/student-month</x:v>
      </x:c>
      <x:c r="F7" s="18" t="str">
        <x:v>CALCULATION</x:v>
      </x:c>
      <x:c r="G7" s="18" t="str">
        <x:v>S1 + competitor sample</x:v>
      </x:c>
      <x:c r="H7" s="18" t="str">
        <x:v>Имплицирует опубликованный диапазон bottom-up TAM; не средний тариф</x:v>
      </x:c>
    </x:row>
    <x:row r="8">
      <x:c r="A8" s="18" t="str">
        <x:v>private_school_paid_months</x:v>
      </x:c>
      <x:c r="B8" s="21" t="n">
        <x:v>9</x:v>
      </x:c>
      <x:c r="C8" s="21" t="n">
        <x:v>10</x:v>
      </x:c>
      <x:c r="D8" s="21" t="n">
        <x:v>12</x:v>
      </x:c>
      <x:c r="E8" s="18" t="str">
        <x:v>months/year</x:v>
      </x:c>
      <x:c r="F8" s="26" t="str">
        <x:v>HYPOTHESIS</x:v>
      </x:c>
      <x:c r="G8" s="18" t="str">
        <x:v>sensitivity</x:v>
      </x:c>
      <x:c r="H8" s="18" t="str">
        <x:v>Календарь оплаты различается</x:v>
      </x:c>
    </x:row>
    <x:row r="9">
      <x:c r="A9" s="18" t="str">
        <x:v>private_school_household_funds</x:v>
      </x:c>
      <x:c r="B9" s="21" t="n">
        <x:v>58.69</x:v>
      </x:c>
      <x:c r="C9" s="21" t="n">
        <x:v>58.69</x:v>
      </x:c>
      <x:c r="D9" s="21" t="n">
        <x:v>58.69</x:v>
      </x:c>
      <x:c r="E9" s="18" t="str">
        <x:v>bn RUB</x:v>
      </x:c>
      <x:c r="F9" s="25" t="str">
        <x:v>FACT</x:v>
      </x:c>
      <x:c r="G9" s="18" t="str">
        <x:v>S1</x:v>
      </x:c>
      <x:c r="H9" s="18" t="str">
        <x:v>Top-down, средства семей</x:v>
      </x:c>
    </x:row>
    <x:row r="10">
      <x:c r="A10" s="18" t="str">
        <x:v>private_school_all_funds</x:v>
      </x:c>
      <x:c r="B10" s="21" t="n">
        <x:v>98.81</x:v>
      </x:c>
      <x:c r="C10" s="21" t="n">
        <x:v>98.81</x:v>
      </x:c>
      <x:c r="D10" s="21" t="n">
        <x:v>98.81</x:v>
      </x:c>
      <x:c r="E10" s="18" t="str">
        <x:v>bn RUB</x:v>
      </x:c>
      <x:c r="F10" s="25" t="str">
        <x:v>FACT</x:v>
      </x:c>
      <x:c r="G10" s="18" t="str">
        <x:v>S1</x:v>
      </x:c>
      <x:c r="H10" s="18" t="str">
        <x:v>Top-down, все источники финансирования</x:v>
      </x:c>
    </x:row>
    <x:row r="11">
      <x:c r="A11" s="18" t="str">
        <x:v>private_preschool_children</x:v>
      </x:c>
      <x:c r="B11" s="21" t="n">
        <x:v>104500</x:v>
      </x:c>
      <x:c r="C11" s="21" t="n">
        <x:v>104500</x:v>
      </x:c>
      <x:c r="D11" s="21" t="n">
        <x:v>104500</x:v>
      </x:c>
      <x:c r="E11" s="18" t="str">
        <x:v>children</x:v>
      </x:c>
      <x:c r="F11" s="25" t="str">
        <x:v>FACT</x:v>
      </x:c>
      <x:c r="G11" s="18" t="str">
        <x:v>S1</x:v>
      </x:c>
      <x:c r="H11" s="18" t="str">
        <x:v>Частный сектор, 2024</x:v>
      </x:c>
    </x:row>
    <x:row r="12">
      <x:c r="A12" s="18" t="str">
        <x:v>private_preschool_annual_arpu</x:v>
      </x:c>
      <x:c r="B12" s="23"/>
      <x:c r="C12" s="23"/>
      <x:c r="D12" s="23"/>
      <x:c r="E12" s="18" t="str">
        <x:v>RUB/child-year</x:v>
      </x:c>
      <x:c r="F12" s="18" t="str">
        <x:v>INPUT NEEDED</x:v>
      </x:c>
      <x:c r="G12" s="18" t="str">
        <x:v>—</x:v>
      </x:c>
      <x:c r="H12" s="18" t="str">
        <x:v>Официальный ARPU/выручка недоступны</x:v>
      </x:c>
    </x:row>
    <x:row r="13">
      <x:c r="A13" s="18" t="str">
        <x:v>add_ed_narrow_topdown</x:v>
      </x:c>
      <x:c r="B13" s="21" t="n">
        <x:v>40.93</x:v>
      </x:c>
      <x:c r="C13" s="21" t="n">
        <x:v>40.93</x:v>
      </x:c>
      <x:c r="D13" s="21" t="n">
        <x:v>40.93</x:v>
      </x:c>
      <x:c r="E13" s="18" t="str">
        <x:v>bn RUB</x:v>
      </x:c>
      <x:c r="F13" s="25" t="str">
        <x:v>FACT</x:v>
      </x:c>
      <x:c r="G13" s="18" t="str">
        <x:v>S1</x:v>
      </x:c>
      <x:c r="H13" s="18" t="str">
        <x:v>Формальные организации, узкая граница</x:v>
      </x:c>
    </x:row>
    <x:row r="14">
      <x:c r="A14" s="18" t="str">
        <x:v>add_ed_broad_2021_22</x:v>
      </x:c>
      <x:c r="B14" s="21" t="n">
        <x:v>866.8</x:v>
      </x:c>
      <x:c r="C14" s="21" t="n">
        <x:v>866.8</x:v>
      </x:c>
      <x:c r="D14" s="21" t="n">
        <x:v>866.8</x:v>
      </x:c>
      <x:c r="E14" s="18" t="str">
        <x:v>bn RUB</x:v>
      </x:c>
      <x:c r="F14" s="18" t="str">
        <x:v>CALCULATION</x:v>
      </x:c>
      <x:c r="G14" s="18" t="str">
        <x:v>S2</x:v>
      </x:c>
      <x:c r="H14" s="18" t="str">
        <x:v>Широкая граница, цены 2021/22, включает репетиторов</x:v>
      </x:c>
    </x:row>
    <x:row r="15">
      <x:c r="A15" s="18" t="str">
        <x:v>spb_preschool_catchment_children</x:v>
      </x:c>
      <x:c r="B15" s="21"/>
      <x:c r="C15" s="21"/>
      <x:c r="D15" s="21"/>
      <x:c r="E15" s="18" t="str">
        <x:v>children</x:v>
      </x:c>
      <x:c r="F15" s="18" t="str">
        <x:v>INPUT NEEDED</x:v>
      </x:c>
      <x:c r="G15" s="18" t="str">
        <x:v>internal geodata</x:v>
      </x:c>
      <x:c r="H15" s="18" t="str">
        <x:v>10–20 минут от действующей точки</x:v>
      </x:c>
    </x:row>
    <x:row r="16">
      <x:c r="A16" s="18" t="str">
        <x:v>spb_school_catchment_children</x:v>
      </x:c>
      <x:c r="B16" s="21"/>
      <x:c r="C16" s="21"/>
      <x:c r="D16" s="21"/>
      <x:c r="E16" s="18" t="str">
        <x:v>children</x:v>
      </x:c>
      <x:c r="F16" s="18" t="str">
        <x:v>INPUT NEEDED</x:v>
      </x:c>
      <x:c r="G16" s="18" t="str">
        <x:v>internal geodata</x:v>
      </x:c>
      <x:c r="H16" s="18" t="str">
        <x:v>10–20 минут</x:v>
      </x:c>
    </x:row>
    <x:row r="17">
      <x:c r="A17" s="18" t="str">
        <x:v>spb_add_ed_catchment_children</x:v>
      </x:c>
      <x:c r="B17" s="21"/>
      <x:c r="C17" s="21"/>
      <x:c r="D17" s="21"/>
      <x:c r="E17" s="18" t="str">
        <x:v>children</x:v>
      </x:c>
      <x:c r="F17" s="18" t="str">
        <x:v>INPUT NEEDED</x:v>
      </x:c>
      <x:c r="G17" s="18" t="str">
        <x:v>internal geodata</x:v>
      </x:c>
      <x:c r="H17" s="18" t="str">
        <x:v>10–20 минут</x:v>
      </x:c>
    </x:row>
    <x:row r="18">
      <x:c r="A18" s="18" t="str">
        <x:v>spb_affordability_share</x:v>
      </x:c>
      <x:c r="B18" s="22"/>
      <x:c r="C18" s="22"/>
      <x:c r="D18" s="22"/>
      <x:c r="E18" s="18" t="str">
        <x:v>share</x:v>
      </x:c>
      <x:c r="F18" s="18" t="str">
        <x:v>INPUT NEEDED</x:v>
      </x:c>
      <x:c r="G18" s="18" t="str">
        <x:v>catchment income model</x:v>
      </x:c>
      <x:c r="H18" s="18" t="str">
        <x:v>Доля семей, способных оплатить</x:v>
      </x:c>
    </x:row>
    <x:row r="19">
      <x:c r="A19" s="18" t="str">
        <x:v>spb_private_consideration_share</x:v>
      </x:c>
      <x:c r="B19" s="22"/>
      <x:c r="C19" s="22"/>
      <x:c r="D19" s="22"/>
      <x:c r="E19" s="18" t="str">
        <x:v>share</x:v>
      </x:c>
      <x:c r="F19" s="18" t="str">
        <x:v>INPUT NEEDED</x:v>
      </x:c>
      <x:c r="G19" s="18" t="str">
        <x:v>survey/funnel</x:v>
      </x:c>
      <x:c r="H19" s="18" t="str">
        <x:v>Доля рассматривающих частный продукт</x:v>
      </x:c>
    </x:row>
    <x:row r="20">
      <x:c r="A20" s="18" t="str">
        <x:v>spb_preschool_annual_fee</x:v>
      </x:c>
      <x:c r="B20" s="23"/>
      <x:c r="C20" s="23"/>
      <x:c r="D20" s="23"/>
      <x:c r="E20" s="18" t="str">
        <x:v>RUB/child-year</x:v>
      </x:c>
      <x:c r="F20" s="18" t="str">
        <x:v>INPUT NEEDED</x:v>
      </x:c>
      <x:c r="G20" s="18" t="str">
        <x:v>realized payments</x:v>
      </x:c>
      <x:c r="H20" s="25" t="str">
        <x:v>Не публичный прайс, а фактическая цена</x:v>
      </x:c>
    </x:row>
    <x:row r="21">
      <x:c r="A21" s="18" t="str">
        <x:v>spb_school_annual_fee</x:v>
      </x:c>
      <x:c r="B21" s="23"/>
      <x:c r="C21" s="23"/>
      <x:c r="D21" s="23"/>
      <x:c r="E21" s="18" t="str">
        <x:v>RUB/child-year</x:v>
      </x:c>
      <x:c r="F21" s="18" t="str">
        <x:v>INPUT NEEDED</x:v>
      </x:c>
      <x:c r="G21" s="18" t="str">
        <x:v>realized payments</x:v>
      </x:c>
      <x:c r="H21" s="25" t="str">
        <x:v>Фактическая цена</x:v>
      </x:c>
    </x:row>
    <x:row r="22">
      <x:c r="A22" s="18" t="str">
        <x:v>spb_add_ed_annual_fee</x:v>
      </x:c>
      <x:c r="B22" s="23"/>
      <x:c r="C22" s="23"/>
      <x:c r="D22" s="23"/>
      <x:c r="E22" s="18" t="str">
        <x:v>RUB/child-year</x:v>
      </x:c>
      <x:c r="F22" s="18" t="str">
        <x:v>INPUT NEEDED</x:v>
      </x:c>
      <x:c r="G22" s="18" t="str">
        <x:v>realized payments</x:v>
      </x:c>
      <x:c r="H22" s="25" t="str">
        <x:v>Фактическая цена</x:v>
      </x:c>
    </x:row>
    <x:row r="23">
      <x:c r="A23" s="18" t="str">
        <x:v>arthello_preschool_capacity</x:v>
      </x:c>
      <x:c r="B23" s="21"/>
      <x:c r="C23" s="21"/>
      <x:c r="D23" s="21"/>
      <x:c r="E23" s="18" t="str">
        <x:v>seats</x:v>
      </x:c>
      <x:c r="F23" s="18" t="str">
        <x:v>INPUT NEEDED</x:v>
      </x:c>
      <x:c r="G23" s="18" t="str">
        <x:v>licence + rooms</x:v>
      </x:c>
      <x:c r="H23" s="25" t="str">
        <x:v>Разрешённая и фактическая вместимость</x:v>
      </x:c>
    </x:row>
    <x:row r="24">
      <x:c r="A24" s="18" t="str">
        <x:v>arthello_school_capacity</x:v>
      </x:c>
      <x:c r="B24" s="21"/>
      <x:c r="C24" s="21"/>
      <x:c r="D24" s="21"/>
      <x:c r="E24" s="18" t="str">
        <x:v>seats</x:v>
      </x:c>
      <x:c r="F24" s="18" t="str">
        <x:v>INPUT NEEDED</x:v>
      </x:c>
      <x:c r="G24" s="18" t="str">
        <x:v>licence + rooms</x:v>
      </x:c>
      <x:c r="H24" s="18" t="str">
        <x:v>Вместимость</x:v>
      </x:c>
    </x:row>
    <x:row r="25">
      <x:c r="A25" s="18" t="str">
        <x:v>arthello_add_ed_capacity</x:v>
      </x:c>
      <x:c r="B25" s="21"/>
      <x:c r="C25" s="21"/>
      <x:c r="D25" s="21"/>
      <x:c r="E25" s="18" t="str">
        <x:v>seats</x:v>
      </x:c>
      <x:c r="F25" s="18" t="str">
        <x:v>INPUT NEEDED</x:v>
      </x:c>
      <x:c r="G25" s="18" t="str">
        <x:v>schedule capacity</x:v>
      </x:c>
      <x:c r="H25" s="18" t="str">
        <x:v>Вместимость расписания</x:v>
      </x:c>
    </x:row>
    <x:row r="26">
      <x:c r="A26" s="18" t="str">
        <x:v>arthello_target_load</x:v>
      </x:c>
      <x:c r="B26" s="22"/>
      <x:c r="C26" s="22"/>
      <x:c r="D26" s="22"/>
      <x:c r="E26" s="18" t="str">
        <x:v>share</x:v>
      </x:c>
      <x:c r="F26" s="18" t="str">
        <x:v>INPUT NEEDED</x:v>
      </x:c>
      <x:c r="G26" s="18" t="str">
        <x:v>unit economics</x:v>
      </x:c>
      <x:c r="H26" s="18" t="str">
        <x:v>Целевая оплаченная загрузка</x:v>
      </x:c>
    </x:row>
    <x:row r="27">
      <x:c r="A27" s="18" t="str">
        <x:v>arthello_paid_conversion</x:v>
      </x:c>
      <x:c r="B27" s="22"/>
      <x:c r="C27" s="22"/>
      <x:c r="D27" s="22"/>
      <x:c r="E27" s="18" t="str">
        <x:v>share</x:v>
      </x:c>
      <x:c r="F27" s="18" t="str">
        <x:v>INPUT NEEDED</x:v>
      </x:c>
      <x:c r="G27" s="18" t="str">
        <x:v>CRM + bank</x:v>
      </x:c>
      <x:c r="H27" s="18" t="str">
        <x:v>Доля адресного спроса, ставшая оплатой</x:v>
      </x:c>
    </x:row>
    <x:row r="28">
      <x:c r="A28" s="18" t="str">
        <x:v>arthello_garden_contracts</x:v>
      </x:c>
      <x:c r="B28" s="21" t="n">
        <x:v>64</x:v>
      </x:c>
      <x:c r="C28" s="21" t="n">
        <x:v>64</x:v>
      </x:c>
      <x:c r="D28" s="21" t="n">
        <x:v>64</x:v>
      </x:c>
      <x:c r="E28" s="18" t="str">
        <x:v>contracts</x:v>
      </x:c>
      <x:c r="F28" s="18" t="str">
        <x:v>PRELIMINARY</x:v>
      </x:c>
      <x:c r="G28" s="18" t="str">
        <x:v>SRC-INT-01</x:v>
      </x:c>
      <x:c r="H28" s="18" t="str">
        <x:v>Не live CRM</x:v>
      </x:c>
    </x:row>
    <x:row r="29">
      <x:c r="A29" s="18" t="str">
        <x:v>arthello_school_contracts</x:v>
      </x:c>
      <x:c r="B29" s="21" t="n">
        <x:v>29</x:v>
      </x:c>
      <x:c r="C29" s="21" t="n">
        <x:v>29</x:v>
      </x:c>
      <x:c r="D29" s="21" t="n">
        <x:v>29</x:v>
      </x:c>
      <x:c r="E29" s="18" t="str">
        <x:v>contracts</x:v>
      </x:c>
      <x:c r="F29" s="18" t="str">
        <x:v>PRELIMINARY</x:v>
      </x:c>
      <x:c r="G29" s="18" t="str">
        <x:v>SRC-INT-01</x:v>
      </x:c>
      <x:c r="H29" s="18" t="str">
        <x:v>Не live CRM</x:v>
      </x:c>
    </x:row>
    <x:row r="30">
      <x:c r="A30" s="18" t="str">
        <x:v>arthello_garden_monthly_contracted</x:v>
      </x:c>
      <x:c r="B30" s="23" t="n">
        <x:v>3525100</x:v>
      </x:c>
      <x:c r="C30" s="23" t="n">
        <x:v>3525100</x:v>
      </x:c>
      <x:c r="D30" s="23" t="n">
        <x:v>3525100</x:v>
      </x:c>
      <x:c r="E30" s="18" t="str">
        <x:v>RUB/month</x:v>
      </x:c>
      <x:c r="F30" s="18" t="str">
        <x:v>PRELIMINARY</x:v>
      </x:c>
      <x:c r="G30" s="18" t="str">
        <x:v>SRC-INT-01</x:v>
      </x:c>
      <x:c r="H30" s="18" t="str">
        <x:v>Не сверено с банком</x:v>
      </x:c>
    </x:row>
    <x:row r="31">
      <x:c r="A31" s="18" t="str">
        <x:v>arthello_school_monthly_contracted</x:v>
      </x:c>
      <x:c r="B31" s="23" t="n">
        <x:v>2108249</x:v>
      </x:c>
      <x:c r="C31" s="23" t="n">
        <x:v>2108249</x:v>
      </x:c>
      <x:c r="D31" s="23" t="n">
        <x:v>2108249</x:v>
      </x:c>
      <x:c r="E31" s="18" t="str">
        <x:v>RUB/month</x:v>
      </x:c>
      <x:c r="F31" s="18" t="str">
        <x:v>PRELIMINARY</x:v>
      </x:c>
      <x:c r="G31" s="18" t="str">
        <x:v>SRC-INT-01</x:v>
      </x:c>
      <x:c r="H31" s="18" t="str">
        <x:v>Не сверено с банком</x:v>
      </x:c>
    </x:row>
    <x:row r="32">
      <x:c r="A32" s="18" t="str">
        <x:v>arthello_payroll_monthly</x:v>
      </x:c>
      <x:c r="B32" s="23" t="n">
        <x:v>3540000</x:v>
      </x:c>
      <x:c r="C32" s="23" t="n">
        <x:v>3760000</x:v>
      </x:c>
      <x:c r="D32" s="23" t="n">
        <x:v>3980000</x:v>
      </x:c>
      <x:c r="E32" s="18" t="str">
        <x:v>RUB/month</x:v>
      </x:c>
      <x:c r="F32" s="18" t="str">
        <x:v>PRELIMINARY</x:v>
      </x:c>
      <x:c r="G32" s="18" t="str">
        <x:v>SRC-INT-02</x:v>
      </x:c>
      <x:c r="H32" s="18" t="str">
        <x:v>Диапазон Sep 2025–Apr 2026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7" hidden="0" customWidth="1"/>
    <x:col min="4" max="4" width="19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  <x:col min="9" max="9" width="17" hidden="0" customWidth="1"/>
    <x:col min="10" max="10" width="52" hidden="0" customWidth="1"/>
  </x:cols>
  <x:sheetData>
    <x:row r="1" ht="30" customHeight="1">
      <x:c r="A1" s="4" t="str">
        <x:v>TAM / SAM / SOM — формульная модель</x:v>
      </x:c>
      <x:c r="B1" s="4" t="str">
        <x:v>TAM / SAM / SOM — формульная модель</x:v>
      </x:c>
      <x:c r="C1" s="4" t="str">
        <x:v>TAM / SAM / SOM — формульная модель</x:v>
      </x:c>
      <x:c r="D1" s="4" t="str">
        <x:v>TAM / SAM / SOM — формульная модель</x:v>
      </x:c>
      <x:c r="E1" s="4" t="str">
        <x:v>TAM / SAM / SOM — формульная модель</x:v>
      </x:c>
      <x:c r="F1" s="4" t="str">
        <x:v>TAM / SAM / SOM — формульная модель</x:v>
      </x:c>
      <x:c r="G1" s="4" t="str">
        <x:v>TAM / SAM / SOM — формульная модель</x:v>
      </x:c>
      <x:c r="H1" s="4" t="str">
        <x:v>TAM / SAM / SOM — формульная модель</x:v>
      </x:c>
      <x:c r="I1" s="4" t="str">
        <x:v>TAM / SAM / SOM — формульная модель</x:v>
      </x:c>
      <x:c r="J1" s="4" t="str">
        <x:v>TAM / SAM / SOM — формульная модель</x:v>
      </x:c>
    </x:row>
    <x:row r="2" ht="32" customHeight="1">
      <x:c r="A2" s="8" t="str">
        <x:v>Россия: top-down и bottom-up не скрывают расхождения. Санкт-Петербург: без геокодированных когорт, платёжеспособности, фактического чека и вместимости числовой SAM/SOM остановлен.</x:v>
      </x:c>
      <x:c r="B2" s="8" t="str">
        <x:v>Россия: top-down и bottom-up не скрывают расхождения. Санкт-Петербург: без геокодированных когорт, платёжеспособности, фактического чека и вместимости числовой SAM/SOM остановлен.</x:v>
      </x:c>
      <x:c r="C2" s="8" t="str">
        <x:v>Россия: top-down и bottom-up не скрывают расхождения. Санкт-Петербург: без геокодированных когорт, платёжеспособности, фактического чека и вместимости числовой SAM/SOM остановлен.</x:v>
      </x:c>
      <x:c r="D2" s="8" t="str">
        <x:v>Россия: top-down и bottom-up не скрывают расхождения. Санкт-Петербург: без геокодированных когорт, платёжеспособности, фактического чека и вместимости числовой SAM/SOM остановлен.</x:v>
      </x:c>
      <x:c r="E2" s="8" t="str">
        <x:v>Россия: top-down и bottom-up не скрывают расхождения. Санкт-Петербург: без геокодированных когорт, платёжеспособности, фактического чека и вместимости числовой SAM/SOM остановлен.</x:v>
      </x:c>
      <x:c r="F2" s="8" t="str">
        <x:v>Россия: top-down и bottom-up не скрывают расхождения. Санкт-Петербург: без геокодированных когорт, платёжеспособности, фактического чека и вместимости числовой SAM/SOM остановлен.</x:v>
      </x:c>
      <x:c r="G2" s="8" t="str">
        <x:v>Россия: top-down и bottom-up не скрывают расхождения. Санкт-Петербург: без геокодированных когорт, платёжеспособности, фактического чека и вместимости числовой SAM/SOM остановлен.</x:v>
      </x:c>
      <x:c r="H2" s="8" t="str">
        <x:v>Россия: top-down и bottom-up не скрывают расхождения. Санкт-Петербург: без геокодированных когорт, платёжеспособности, фактического чека и вместимости числовой SAM/SOM остановлен.</x:v>
      </x:c>
      <x:c r="I2" s="8" t="str">
        <x:v>Россия: top-down и bottom-up не скрывают расхождения. Санкт-Петербург: без геокодированных когорт, платёжеспособности, фактического чека и вместимости числовой SAM/SOM остановлен.</x:v>
      </x:c>
      <x:c r="J2" s="8" t="str">
        <x:v>Россия: top-down и bottom-up не скрывают расхождения. Санкт-Петербург: без геокодированных когорт, платёжеспособности, фактического чека и вместимости числовой SAM/SOM остановлен.</x:v>
      </x:c>
    </x:row>
    <x:row r="4" ht="30" customHeight="1">
      <x:c r="A4" s="14" t="str">
        <x:v>segment</x:v>
      </x:c>
      <x:c r="B4" s="14" t="str">
        <x:v>geography</x:v>
      </x:c>
      <x:c r="C4" s="14" t="str">
        <x:v>scope</x:v>
      </x:c>
      <x:c r="D4" s="14" t="str">
        <x:v>method</x:v>
      </x:c>
      <x:c r="E4" s="14" t="str">
        <x:v>unit</x:v>
      </x:c>
      <x:c r="F4" s="14" t="str">
        <x:v>low</x:v>
      </x:c>
      <x:c r="G4" s="14" t="str">
        <x:v>base</x:v>
      </x:c>
      <x:c r="H4" s="14" t="str">
        <x:v>high</x:v>
      </x:c>
      <x:c r="I4" s="14" t="str">
        <x:v>status</x:v>
      </x:c>
      <x:c r="J4" s="14" t="str">
        <x:v>formula / limitation</x:v>
      </x:c>
    </x:row>
    <x:row r="5">
      <x:c r="A5" s="18" t="str">
        <x:v>Частные сады</x:v>
      </x:c>
      <x:c r="B5" s="18" t="str">
        <x:v>Россия</x:v>
      </x:c>
      <x:c r="C5" s="18" t="str">
        <x:v>TAM</x:v>
      </x:c>
      <x:c r="D5" s="18" t="str">
        <x:v>bottom-up</x:v>
      </x:c>
      <x:c r="E5" s="18" t="str">
        <x:v>bn RUB/year</x:v>
      </x:c>
      <x:c r="F5" s="30" t="str">
        <x:f>IF(Assumptions!B12="","НЕ ДОКАЗАНО",Assumptions!B11*Assumptions!B12/1000000000)</x:f>
        <x:v>НЕ ДОКАЗАНО</x:v>
      </x:c>
      <x:c r="G5" s="30" t="str">
        <x:f>IF(Assumptions!C12="","НЕ ДОКАЗАНО",Assumptions!C11*Assumptions!C12/1000000000)</x:f>
        <x:v>НЕ ДОКАЗАНО</x:v>
      </x:c>
      <x:c r="H5" s="30" t="str">
        <x:f>IF(Assumptions!D12="","НЕ ДОКАЗАНО",Assumptions!D11*Assumptions!D12/1000000000)</x:f>
        <x:v>НЕ ДОКАЗАНО</x:v>
      </x:c>
      <x:c r="I5" s="32" t="str">
        <x:v>НЕ ДОКАЗАНО</x:v>
      </x:c>
      <x:c r="J5" s="18" t="str">
        <x:v>104 500 детей × годовой ARPU; ARPU отсутствует</x:v>
      </x:c>
    </x:row>
    <x:row r="6">
      <x:c r="A6" s="18" t="str">
        <x:v>Частные школы</x:v>
      </x:c>
      <x:c r="B6" s="18" t="str">
        <x:v>Россия</x:v>
      </x:c>
      <x:c r="C6" s="18" t="str">
        <x:v>TAM — household</x:v>
      </x:c>
      <x:c r="D6" s="18" t="str">
        <x:v>top-down</x:v>
      </x:c>
      <x:c r="E6" s="18" t="str">
        <x:v>bn RUB/year</x:v>
      </x:c>
      <x:c r="F6" s="28" t="n">
        <x:v>58.69</x:v>
      </x:c>
      <x:c r="G6" s="28" t="n">
        <x:v>58.69</x:v>
      </x:c>
      <x:c r="H6" s="28" t="n">
        <x:v>58.69</x:v>
      </x:c>
      <x:c r="I6" s="25" t="str">
        <x:v>ФАКТ</x:v>
      </x:c>
      <x:c r="J6" s="18" t="str">
        <x:v>Средства семей в отчётности</x:v>
      </x:c>
    </x:row>
    <x:row r="7">
      <x:c r="A7" s="18" t="str">
        <x:v>Частные школы</x:v>
      </x:c>
      <x:c r="B7" s="18" t="str">
        <x:v>Россия</x:v>
      </x:c>
      <x:c r="C7" s="18" t="str">
        <x:v>TAM — all funds</x:v>
      </x:c>
      <x:c r="D7" s="18" t="str">
        <x:v>top-down</x:v>
      </x:c>
      <x:c r="E7" s="18" t="str">
        <x:v>bn RUB/year</x:v>
      </x:c>
      <x:c r="F7" s="28" t="n">
        <x:v>98.81</x:v>
      </x:c>
      <x:c r="G7" s="28" t="n">
        <x:v>98.81</x:v>
      </x:c>
      <x:c r="H7" s="28" t="n">
        <x:v>98.81</x:v>
      </x:c>
      <x:c r="I7" s="25" t="str">
        <x:v>ФАКТ</x:v>
      </x:c>
      <x:c r="J7" s="18" t="str">
        <x:v>Все источники; не равно чистой tuition revenue</x:v>
      </x:c>
    </x:row>
    <x:row r="8">
      <x:c r="A8" s="18" t="str">
        <x:v>Частные школы</x:v>
      </x:c>
      <x:c r="B8" s="18" t="str">
        <x:v>Россия</x:v>
      </x:c>
      <x:c r="C8" s="18" t="str">
        <x:v>TAM sensitivity</x:v>
      </x:c>
      <x:c r="D8" s="18" t="str">
        <x:v>bottom-up</x:v>
      </x:c>
      <x:c r="E8" s="18" t="str">
        <x:v>bn RUB/year</x:v>
      </x:c>
      <x:c r="F8" s="28" t="n">
        <x:f>Assumptions!B6*Assumptions!B7*Assumptions!B8/1000000000</x:f>
        <x:v>54.800226</x:v>
      </x:c>
      <x:c r="G8" s="28" t="n">
        <x:f>Assumptions!C6*Assumptions!C7*Assumptions!C8/1000000000</x:f>
        <x:v>76.09914</x:v>
      </x:c>
      <x:c r="H8" s="28" t="n">
        <x:f>Assumptions!D6*Assumptions!D7*Assumptions!D8/1000000000</x:f>
        <x:v>109.700136</x:v>
      </x:c>
      <x:c r="I8" s="18" t="str">
        <x:v>РАСЧЁТ</x:v>
      </x:c>
      <x:c r="J8" s="18" t="str">
        <x:v>234 000 × monthly price × paid months</x:v>
      </x:c>
    </x:row>
    <x:row r="9">
      <x:c r="A9" s="18" t="str">
        <x:v>Допобразование</x:v>
      </x:c>
      <x:c r="B9" s="18" t="str">
        <x:v>Россия</x:v>
      </x:c>
      <x:c r="C9" s="18" t="str">
        <x:v>TAM narrow</x:v>
      </x:c>
      <x:c r="D9" s="18" t="str">
        <x:v>top-down</x:v>
      </x:c>
      <x:c r="E9" s="18" t="str">
        <x:v>bn RUB/year</x:v>
      </x:c>
      <x:c r="F9" s="28" t="n">
        <x:v>40.93</x:v>
      </x:c>
      <x:c r="G9" s="28" t="n">
        <x:v>40.93</x:v>
      </x:c>
      <x:c r="H9" s="28" t="n">
        <x:v>40.93</x:v>
      </x:c>
      <x:c r="I9" s="25" t="str">
        <x:v>ФАКТ</x:v>
      </x:c>
      <x:c r="J9" s="18" t="str">
        <x:v>Формальные организации; исключает большой неформальный контур</x:v>
      </x:c>
    </x:row>
    <x:row r="10">
      <x:c r="A10" s="18" t="str">
        <x:v>Допобразование</x:v>
      </x:c>
      <x:c r="B10" s="18" t="str">
        <x:v>Россия</x:v>
      </x:c>
      <x:c r="C10" s="18" t="str">
        <x:v>TAM broad 2021/22</x:v>
      </x:c>
      <x:c r="D10" s="18" t="str">
        <x:v>top-down</x:v>
      </x:c>
      <x:c r="E10" s="18" t="str">
        <x:v>bn RUB/year</x:v>
      </x:c>
      <x:c r="F10" s="28" t="n">
        <x:v>866.8</x:v>
      </x:c>
      <x:c r="G10" s="28" t="n">
        <x:v>866.8</x:v>
      </x:c>
      <x:c r="H10" s="28" t="n">
        <x:v>866.8</x:v>
      </x:c>
      <x:c r="I10" s="18" t="str">
        <x:v>РАСЧЁТ</x:v>
      </x:c>
      <x:c r="J10" s="18" t="str">
        <x:v>Широкая граница; не приводится как текущий 2026 объём</x:v>
      </x:c>
    </x:row>
    <x:row r="11">
      <x:c r="A11" s="18" t="str">
        <x:v>Частные сады</x:v>
      </x:c>
      <x:c r="B11" s="18" t="str">
        <x:v>Санкт-Петербург</x:v>
      </x:c>
      <x:c r="C11" s="18" t="str">
        <x:v>SAM</x:v>
      </x:c>
      <x:c r="D11" s="18" t="str">
        <x:v>catchment</x:v>
      </x:c>
      <x:c r="E11" s="18" t="str">
        <x:v>bn RUB/year</x:v>
      </x:c>
      <x:c r="F11" s="30" t="str">
        <x:f>IF(COUNTA(Assumptions!B15,Assumptions!B18,Assumptions!B19,Assumptions!B20)&lt;4,"НЕ ДОКАЗАНО",Assumptions!B15*Assumptions!B18*Assumptions!B19*Assumptions!B20/1000000000)</x:f>
        <x:v>НЕ ДОКАЗАНО</x:v>
      </x:c>
      <x:c r="G11" s="30" t="str">
        <x:f>IF(COUNTA(Assumptions!C15,Assumptions!C18,Assumptions!C19,Assumptions!C20)&lt;4,"НЕ ДОКАЗАНО",Assumptions!C15*Assumptions!C18*Assumptions!C19*Assumptions!C20/1000000000)</x:f>
        <x:v>НЕ ДОКАЗАНО</x:v>
      </x:c>
      <x:c r="H11" s="30" t="str">
        <x:f>IF(COUNTA(Assumptions!D15,Assumptions!D18,Assumptions!D19,Assumptions!D20)&lt;4,"НЕ ДОКАЗАНО",Assumptions!D15*Assumptions!D18*Assumptions!D19*Assumptions!D20/1000000000)</x:f>
        <x:v>НЕ ДОКАЗАНО</x:v>
      </x:c>
      <x:c r="I11" s="32" t="str">
        <x:v>НЕ ДОКАЗАНО</x:v>
      </x:c>
      <x:c r="J11" s="18" t="str">
        <x:v>catchment × affordability × consideration × fee</x:v>
      </x:c>
    </x:row>
    <x:row r="12">
      <x:c r="A12" s="18" t="str">
        <x:v>Частные школы</x:v>
      </x:c>
      <x:c r="B12" s="18" t="str">
        <x:v>Санкт-Петербург</x:v>
      </x:c>
      <x:c r="C12" s="18" t="str">
        <x:v>SAM</x:v>
      </x:c>
      <x:c r="D12" s="18" t="str">
        <x:v>catchment</x:v>
      </x:c>
      <x:c r="E12" s="18" t="str">
        <x:v>bn RUB/year</x:v>
      </x:c>
      <x:c r="F12" s="30" t="str">
        <x:f>IF(COUNTA(Assumptions!B16,Assumptions!B18,Assumptions!B19,Assumptions!B21)&lt;4,"НЕ ДОКАЗАНО",Assumptions!B16*Assumptions!B18*Assumptions!B19*Assumptions!B21/1000000000)</x:f>
        <x:v>НЕ ДОКАЗАНО</x:v>
      </x:c>
      <x:c r="G12" s="30" t="str">
        <x:f>IF(COUNTA(Assumptions!C16,Assumptions!C18,Assumptions!C19,Assumptions!C21)&lt;4,"НЕ ДОКАЗАНО",Assumptions!C16*Assumptions!C18*Assumptions!C19*Assumptions!C21/1000000000)</x:f>
        <x:v>НЕ ДОКАЗАНО</x:v>
      </x:c>
      <x:c r="H12" s="30" t="str">
        <x:f>IF(COUNTA(Assumptions!D16,Assumptions!D18,Assumptions!D19,Assumptions!D21)&lt;4,"НЕ ДОКАЗАНО",Assumptions!D16*Assumptions!D18*Assumptions!D19*Assumptions!D21/1000000000)</x:f>
        <x:v>НЕ ДОКАЗАНО</x:v>
      </x:c>
      <x:c r="I12" s="32" t="str">
        <x:v>НЕ ДОКАЗАНО</x:v>
      </x:c>
      <x:c r="J12" s="18" t="str">
        <x:v>catchment × affordability × consideration × fee</x:v>
      </x:c>
    </x:row>
    <x:row r="13">
      <x:c r="A13" s="18" t="str">
        <x:v>Допобразование</x:v>
      </x:c>
      <x:c r="B13" s="18" t="str">
        <x:v>Санкт-Петербург</x:v>
      </x:c>
      <x:c r="C13" s="18" t="str">
        <x:v>SAM</x:v>
      </x:c>
      <x:c r="D13" s="18" t="str">
        <x:v>catchment</x:v>
      </x:c>
      <x:c r="E13" s="18" t="str">
        <x:v>bn RUB/year</x:v>
      </x:c>
      <x:c r="F13" s="30" t="str">
        <x:f>IF(COUNTA(Assumptions!B17,Assumptions!B18,Assumptions!B19,Assumptions!B22)&lt;4,"НЕ ДОКАЗАНО",Assumptions!B17*Assumptions!B18*Assumptions!B19*Assumptions!B22/1000000000)</x:f>
        <x:v>НЕ ДОКАЗАНО</x:v>
      </x:c>
      <x:c r="G13" s="30" t="str">
        <x:f>IF(COUNTA(Assumptions!C17,Assumptions!C18,Assumptions!C19,Assumptions!C22)&lt;4,"НЕ ДОКАЗАНО",Assumptions!C17*Assumptions!C18*Assumptions!C19*Assumptions!C22/1000000000)</x:f>
        <x:v>НЕ ДОКАЗАНО</x:v>
      </x:c>
      <x:c r="H13" s="30" t="str">
        <x:f>IF(COUNTA(Assumptions!D17,Assumptions!D18,Assumptions!D19,Assumptions!D22)&lt;4,"НЕ ДОКАЗАНО",Assumptions!D17*Assumptions!D18*Assumptions!D19*Assumptions!D22/1000000000)</x:f>
        <x:v>НЕ ДОКАЗАНО</x:v>
      </x:c>
      <x:c r="I13" s="32" t="str">
        <x:v>НЕ ДОКАЗАНО</x:v>
      </x:c>
      <x:c r="J13" s="18" t="str">
        <x:v>catchment × affordability × consideration × fee</x:v>
      </x:c>
    </x:row>
    <x:row r="14">
      <x:c r="A14" s="18" t="str">
        <x:v>Частные сады</x:v>
      </x:c>
      <x:c r="B14" s="18" t="str">
        <x:v>ArtHello</x:v>
      </x:c>
      <x:c r="C14" s="18" t="str">
        <x:v>SOM — revenue</x:v>
      </x:c>
      <x:c r="D14" s="18" t="str">
        <x:v>capacity constrained</x:v>
      </x:c>
      <x:c r="E14" s="18" t="str">
        <x:v>RUB/year</x:v>
      </x:c>
      <x:c r="F14" s="30" t="str">
        <x:f>IF(COUNTA(Assumptions!B23,Assumptions!B26,Assumptions!B15,Assumptions!B18,Assumptions!B19,Assumptions!B27,Assumptions!B20)&lt;7,"НЕ ДОКАЗАНО",MIN(Assumptions!B23*Assumptions!B26,Assumptions!B15*Assumptions!B18*Assumptions!B19*Assumptions!B27)*Assumptions!B20)</x:f>
        <x:v>НЕ ДОКАЗАНО</x:v>
      </x:c>
      <x:c r="G14" s="30" t="str">
        <x:f>IF(COUNTA(Assumptions!C23,Assumptions!C26,Assumptions!C15,Assumptions!C18,Assumptions!C19,Assumptions!C27,Assumptions!C20)&lt;7,"НЕ ДОКАЗАНО",MIN(Assumptions!C23*Assumptions!C26,Assumptions!C15*Assumptions!C18*Assumptions!C19*Assumptions!C27)*Assumptions!C20)</x:f>
        <x:v>НЕ ДОКАЗАНО</x:v>
      </x:c>
      <x:c r="H14" s="30" t="str">
        <x:f>IF(COUNTA(Assumptions!D23,Assumptions!D26,Assumptions!D15,Assumptions!D18,Assumptions!D19,Assumptions!D27,Assumptions!D20)&lt;7,"НЕ ДОКАЗАНО",MIN(Assumptions!D23*Assumptions!D26,Assumptions!D15*Assumptions!D18*Assumptions!D19*Assumptions!D27)*Assumptions!D20)</x:f>
        <x:v>НЕ ДОКАЗАНО</x:v>
      </x:c>
      <x:c r="I14" s="32" t="str">
        <x:v>НЕ ДОКАЗАНО</x:v>
      </x:c>
      <x:c r="J14" s="18" t="str">
        <x:v>MIN(capacity×load; addressable demand×conversion) × fee</x:v>
      </x:c>
    </x:row>
    <x:row r="15">
      <x:c r="A15" s="18" t="str">
        <x:v>Частные школы</x:v>
      </x:c>
      <x:c r="B15" s="18" t="str">
        <x:v>ArtHello</x:v>
      </x:c>
      <x:c r="C15" s="18" t="str">
        <x:v>SOM — revenue</x:v>
      </x:c>
      <x:c r="D15" s="18" t="str">
        <x:v>capacity constrained</x:v>
      </x:c>
      <x:c r="E15" s="18" t="str">
        <x:v>RUB/year</x:v>
      </x:c>
      <x:c r="F15" s="30" t="str">
        <x:f>IF(COUNTA(Assumptions!B24,Assumptions!B26,Assumptions!B16,Assumptions!B18,Assumptions!B19,Assumptions!B27,Assumptions!B21)&lt;7,"НЕ ДОКАЗАНО",MIN(Assumptions!B24*Assumptions!B26,Assumptions!B16*Assumptions!B18*Assumptions!B19*Assumptions!B27)*Assumptions!B21)</x:f>
        <x:v>НЕ ДОКАЗАНО</x:v>
      </x:c>
      <x:c r="G15" s="30" t="str">
        <x:f>IF(COUNTA(Assumptions!C24,Assumptions!C26,Assumptions!C16,Assumptions!C18,Assumptions!C19,Assumptions!C27,Assumptions!C21)&lt;7,"НЕ ДОКАЗАНО",MIN(Assumptions!C24*Assumptions!C26,Assumptions!C16*Assumptions!C18*Assumptions!C19*Assumptions!C27)*Assumptions!C21)</x:f>
        <x:v>НЕ ДОКАЗАНО</x:v>
      </x:c>
      <x:c r="H15" s="30" t="str">
        <x:f>IF(COUNTA(Assumptions!D24,Assumptions!D26,Assumptions!D16,Assumptions!D18,Assumptions!D19,Assumptions!D27,Assumptions!D21)&lt;7,"НЕ ДОКАЗАНО",MIN(Assumptions!D24*Assumptions!D26,Assumptions!D16*Assumptions!D18*Assumptions!D19*Assumptions!D27)*Assumptions!D21)</x:f>
        <x:v>НЕ ДОКАЗАНО</x:v>
      </x:c>
      <x:c r="I15" s="32" t="str">
        <x:v>НЕ ДОКАЗАНО</x:v>
      </x:c>
      <x:c r="J15" s="18" t="str">
        <x:v>MIN(capacity×load; addressable demand×conversion) × fee</x:v>
      </x:c>
    </x:row>
    <x:row r="16">
      <x:c r="A16" s="18" t="str">
        <x:v>Допобразование</x:v>
      </x:c>
      <x:c r="B16" s="18" t="str">
        <x:v>ArtHello</x:v>
      </x:c>
      <x:c r="C16" s="18" t="str">
        <x:v>SOM — revenue</x:v>
      </x:c>
      <x:c r="D16" s="18" t="str">
        <x:v>capacity constrained</x:v>
      </x:c>
      <x:c r="E16" s="18" t="str">
        <x:v>RUB/year</x:v>
      </x:c>
      <x:c r="F16" s="30" t="str">
        <x:f>IF(COUNTA(Assumptions!B25,Assumptions!B26,Assumptions!B17,Assumptions!B18,Assumptions!B19,Assumptions!B27,Assumptions!B22)&lt;7,"НЕ ДОКАЗАНО",MIN(Assumptions!B25*Assumptions!B26,Assumptions!B17*Assumptions!B18*Assumptions!B19*Assumptions!B27)*Assumptions!B22)</x:f>
        <x:v>НЕ ДОКАЗАНО</x:v>
      </x:c>
      <x:c r="G16" s="30" t="str">
        <x:f>IF(COUNTA(Assumptions!C25,Assumptions!C26,Assumptions!C17,Assumptions!C18,Assumptions!C19,Assumptions!C27,Assumptions!C22)&lt;7,"НЕ ДОКАЗАНО",MIN(Assumptions!C25*Assumptions!C26,Assumptions!C17*Assumptions!C18*Assumptions!C19*Assumptions!C27)*Assumptions!C22)</x:f>
        <x:v>НЕ ДОКАЗАНО</x:v>
      </x:c>
      <x:c r="H16" s="30" t="str">
        <x:f>IF(COUNTA(Assumptions!D25,Assumptions!D26,Assumptions!D17,Assumptions!D18,Assumptions!D19,Assumptions!D27,Assumptions!D22)&lt;7,"НЕ ДОКАЗАНО",MIN(Assumptions!D25*Assumptions!D26,Assumptions!D17*Assumptions!D18*Assumptions!D19*Assumptions!D27)*Assumptions!D22)</x:f>
        <x:v>НЕ ДОКАЗАНО</x:v>
      </x:c>
      <x:c r="I16" s="32" t="str">
        <x:v>НЕ ДОКАЗАНО</x:v>
      </x:c>
      <x:c r="J16" s="18" t="str">
        <x:v>MIN(capacity×load; addressable demand×conversion) × fee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1" hidden="0" customWidth="1"/>
    <x:col min="4" max="4" width="12" hidden="0" customWidth="1"/>
    <x:col min="5" max="5" width="12" hidden="0" customWidth="1"/>
    <x:col min="6" max="6" width="15" hidden="0" customWidth="1"/>
    <x:col min="7" max="7" width="14" hidden="0" customWidth="1"/>
    <x:col min="8" max="8" width="30" hidden="0" customWidth="1"/>
    <x:col min="9" max="9" width="15" hidden="0" customWidth="1"/>
    <x:col min="10" max="10" width="15" hidden="0" customWidth="1"/>
    <x:col min="11" max="11" width="15" hidden="0" customWidth="1"/>
    <x:col min="12" max="12" width="13" hidden="0" customWidth="1"/>
    <x:col min="13" max="13" width="16" hidden="0" customWidth="1"/>
    <x:col min="14" max="14" width="16" hidden="0" customWidth="1"/>
    <x:col min="15" max="15" width="17" hidden="0" customWidth="1"/>
    <x:col min="16" max="16" width="12" hidden="0" customWidth="1"/>
    <x:col min="17" max="17" width="17" hidden="0" customWidth="1"/>
    <x:col min="18" max="18" width="15" hidden="0" customWidth="1"/>
    <x:col min="19" max="19" width="12" hidden="0" customWidth="1"/>
  </x:cols>
  <x:sheetData>
    <x:row r="1" ht="30" customHeight="1">
      <x:c r="A1" s="4" t="str">
        <x:v>Unit‑экономика по сегментам — bad / base / strong</x:v>
      </x:c>
      <x:c r="B1" s="4" t="str">
        <x:v>Unit‑экономика по сегментам — bad / base / strong</x:v>
      </x:c>
      <x:c r="C1" s="4" t="str">
        <x:v>Unit‑экономика по сегментам — bad / base / strong</x:v>
      </x:c>
      <x:c r="D1" s="4" t="str">
        <x:v>Unit‑экономика по сегментам — bad / base / strong</x:v>
      </x:c>
      <x:c r="E1" s="4" t="str">
        <x:v>Unit‑экономика по сегментам — bad / base / strong</x:v>
      </x:c>
      <x:c r="F1" s="4" t="str">
        <x:v>Unit‑экономика по сегментам — bad / base / strong</x:v>
      </x:c>
      <x:c r="G1" s="4" t="str">
        <x:v>Unit‑экономика по сегментам — bad / base / strong</x:v>
      </x:c>
      <x:c r="H1" s="4" t="str">
        <x:v>Unit‑экономика по сегментам — bad / base / strong</x:v>
      </x:c>
      <x:c r="I1" s="4" t="str">
        <x:v>Unit‑экономика по сегментам — bad / base / strong</x:v>
      </x:c>
      <x:c r="J1" s="4" t="str">
        <x:v>Unit‑экономика по сегментам — bad / base / strong</x:v>
      </x:c>
      <x:c r="K1" s="4" t="str">
        <x:v>Unit‑экономика по сегментам — bad / base / strong</x:v>
      </x:c>
      <x:c r="L1" s="4" t="str">
        <x:v>Unit‑экономика по сегментам — bad / base / strong</x:v>
      </x:c>
      <x:c r="M1" s="4" t="str">
        <x:v>Unit‑экономика по сегментам — bad / base / strong</x:v>
      </x:c>
      <x:c r="N1" s="4" t="str">
        <x:v>Unit‑экономика по сегментам — bad / base / strong</x:v>
      </x:c>
      <x:c r="O1" s="4" t="str">
        <x:v>Unit‑экономика по сегментам — bad / base / strong</x:v>
      </x:c>
      <x:c r="P1" s="4" t="str">
        <x:v>Unit‑экономика по сегментам — bad / base / strong</x:v>
      </x:c>
      <x:c r="Q1" s="4" t="str">
        <x:v>Unit‑экономика по сегментам — bad / base / strong</x:v>
      </x:c>
      <x:c r="R1" s="4" t="str">
        <x:v>Unit‑экономика по сегментам — bad / base / strong</x:v>
      </x:c>
      <x:c r="S1" s="4" t="str">
        <x:v>Unit‑экономика по сегментам — bad / base / strong</x:v>
      </x:c>
    </x:row>
    <x:row r="2" ht="32" customHeight="1">
      <x:c r="A2" s="8" t="str">
        <x:v>Гипотезы, не фактический P&amp;L ArtHello. Сад и школа показывают, почему масштабирование до доказанной загрузки и полного cost stack опасно.</x:v>
      </x:c>
      <x:c r="B2" s="8" t="str">
        <x:v>Гипотезы, не фактический P&amp;L ArtHello. Сад и школа показывают, почему масштабирование до доказанной загрузки и полного cost stack опасно.</x:v>
      </x:c>
      <x:c r="C2" s="8" t="str">
        <x:v>Гипотезы, не фактический P&amp;L ArtHello. Сад и школа показывают, почему масштабирование до доказанной загрузки и полного cost stack опасно.</x:v>
      </x:c>
      <x:c r="D2" s="8" t="str">
        <x:v>Гипотезы, не фактический P&amp;L ArtHello. Сад и школа показывают, почему масштабирование до доказанной загрузки и полного cost stack опасно.</x:v>
      </x:c>
      <x:c r="E2" s="8" t="str">
        <x:v>Гипотезы, не фактический P&amp;L ArtHello. Сад и школа показывают, почему масштабирование до доказанной загрузки и полного cost stack опасно.</x:v>
      </x:c>
      <x:c r="F2" s="8" t="str">
        <x:v>Гипотезы, не фактический P&amp;L ArtHello. Сад и школа показывают, почему масштабирование до доказанной загрузки и полного cost stack опасно.</x:v>
      </x:c>
      <x:c r="G2" s="8" t="str">
        <x:v>Гипотезы, не фактический P&amp;L ArtHello. Сад и школа показывают, почему масштабирование до доказанной загрузки и полного cost stack опасно.</x:v>
      </x:c>
      <x:c r="H2" s="8" t="str">
        <x:v>Гипотезы, не фактический P&amp;L ArtHello. Сад и школа показывают, почему масштабирование до доказанной загрузки и полного cost stack опасно.</x:v>
      </x:c>
      <x:c r="I2" s="8" t="str">
        <x:v>Гипотезы, не фактический P&amp;L ArtHello. Сад и школа показывают, почему масштабирование до доказанной загрузки и полного cost stack опасно.</x:v>
      </x:c>
      <x:c r="J2" s="8" t="str">
        <x:v>Гипотезы, не фактический P&amp;L ArtHello. Сад и школа показывают, почему масштабирование до доказанной загрузки и полного cost stack опасно.</x:v>
      </x:c>
      <x:c r="K2" s="8" t="str">
        <x:v>Гипотезы, не фактический P&amp;L ArtHello. Сад и школа показывают, почему масштабирование до доказанной загрузки и полного cost stack опасно.</x:v>
      </x:c>
      <x:c r="L2" s="8" t="str">
        <x:v>Гипотезы, не фактический P&amp;L ArtHello. Сад и школа показывают, почему масштабирование до доказанной загрузки и полного cost stack опасно.</x:v>
      </x:c>
      <x:c r="M2" s="8" t="str">
        <x:v>Гипотезы, не фактический P&amp;L ArtHello. Сад и школа показывают, почему масштабирование до доказанной загрузки и полного cost stack опасно.</x:v>
      </x:c>
      <x:c r="N2" s="8" t="str">
        <x:v>Гипотезы, не фактический P&amp;L ArtHello. Сад и школа показывают, почему масштабирование до доказанной загрузки и полного cost stack опасно.</x:v>
      </x:c>
      <x:c r="O2" s="8" t="str">
        <x:v>Гипотезы, не фактический P&amp;L ArtHello. Сад и школа показывают, почему масштабирование до доказанной загрузки и полного cost stack опасно.</x:v>
      </x:c>
      <x:c r="P2" s="8" t="str">
        <x:v>Гипотезы, не фактический P&amp;L ArtHello. Сад и школа показывают, почему масштабирование до доказанной загрузки и полного cost stack опасно.</x:v>
      </x:c>
      <x:c r="Q2" s="8" t="str">
        <x:v>Гипотезы, не фактический P&amp;L ArtHello. Сад и школа показывают, почему масштабирование до доказанной загрузки и полного cost stack опасно.</x:v>
      </x:c>
      <x:c r="R2" s="8" t="str">
        <x:v>Гипотезы, не фактический P&amp;L ArtHello. Сад и школа показывают, почему масштабирование до доказанной загрузки и полного cost stack опасно.</x:v>
      </x:c>
      <x:c r="S2" s="8" t="str">
        <x:v>Гипотезы, не фактический P&amp;L ArtHello. Сад и школа показывают, почему масштабирование до доказанной загрузки и полного cost stack опасно.</x:v>
      </x:c>
    </x:row>
    <x:row r="4" ht="30" customHeight="1">
      <x:c r="A4" s="14" t="str">
        <x:v>segment</x:v>
      </x:c>
      <x:c r="B4" s="14" t="str">
        <x:v>scenario</x:v>
      </x:c>
      <x:c r="C4" s="14" t="str">
        <x:v>capacity</x:v>
      </x:c>
      <x:c r="D4" s="14" t="str">
        <x:v>occupancy</x:v>
      </x:c>
      <x:c r="E4" s="14" t="str">
        <x:v>paid units</x:v>
      </x:c>
      <x:c r="F4" s="14" t="str">
        <x:v>paid unit</x:v>
      </x:c>
      <x:c r="G4" s="14" t="str">
        <x:v>price</x:v>
      </x:c>
      <x:c r="H4" s="14" t="str">
        <x:v>price basis</x:v>
      </x:c>
      <x:c r="I4" s="14" t="str">
        <x:v>fixed OPEX</x:v>
      </x:c>
      <x:c r="J4" s="14" t="str">
        <x:v>variable/unit</x:v>
      </x:c>
      <x:c r="K4" s="14" t="str">
        <x:v>revenue periods</x:v>
      </x:c>
      <x:c r="L4" s="14" t="str">
        <x:v>fixed periods</x:v>
      </x:c>
      <x:c r="M4" s="14" t="str">
        <x:v>revenue</x:v>
      </x:c>
      <x:c r="N4" s="14" t="str">
        <x:v>total cost</x:v>
      </x:c>
      <x:c r="O4" s="14" t="str">
        <x:v>operating profit</x:v>
      </x:c>
      <x:c r="P4" s="14" t="str">
        <x:v>margin</x:v>
      </x:c>
      <x:c r="Q4" s="14" t="str">
        <x:v>break-even units</x:v>
      </x:c>
      <x:c r="R4" s="14" t="str">
        <x:v>class</x:v>
      </x:c>
      <x:c r="S4" s="14" t="str">
        <x:v>row check</x:v>
      </x:c>
    </x:row>
    <x:row r="5">
      <x:c r="A5" s="18" t="str">
        <x:v>Private_preschool</x:v>
      </x:c>
      <x:c r="B5" s="18" t="str">
        <x:v>bad</x:v>
      </x:c>
      <x:c r="C5" s="20" t="n">
        <x:v>72</x:v>
      </x:c>
      <x:c r="D5" s="34" t="n">
        <x:v>0.6</x:v>
      </x:c>
      <x:c r="E5" s="33" t="n">
        <x:f>INT(C5*D5)</x:f>
        <x:v>43</x:v>
      </x:c>
      <x:c r="F5" s="18" t="str">
        <x:v>child_month</x:v>
      </x:c>
      <x:c r="G5" s="35" t="n">
        <x:v>50000</x:v>
      </x:c>
      <x:c r="H5" s="20" t="str">
        <x:v>monthly_ARPU_per_child</x:v>
      </x:c>
      <x:c r="I5" s="35" t="n">
        <x:v>2750000</x:v>
      </x:c>
      <x:c r="J5" s="35" t="n">
        <x:v>9000</x:v>
      </x:c>
      <x:c r="K5" s="20" t="n">
        <x:v>1</x:v>
      </x:c>
      <x:c r="L5" s="20" t="n">
        <x:v>1</x:v>
      </x:c>
      <x:c r="M5" s="36" t="n">
        <x:f>E5*G5*K5</x:f>
        <x:v>2150000</x:v>
      </x:c>
      <x:c r="N5" s="36" t="n">
        <x:f>I5*L5+E5*J5*K5</x:f>
        <x:v>3137000</x:v>
      </x:c>
      <x:c r="O5" s="36" t="n">
        <x:f>M5-N5</x:f>
        <x:v>-987000</x:v>
      </x:c>
      <x:c r="P5" s="37" t="n">
        <x:f>IF(M5=0,"",O5/M5)</x:f>
        <x:v>-0.45906976744186045</x:v>
      </x:c>
      <x:c r="Q5" s="38" t="n">
        <x:f>IF((G5-J5)*K5&lt;=0,"",I5*L5/((G5-J5)*K5))</x:f>
        <x:v>67.07317073170732</x:v>
      </x:c>
      <x:c r="R5" s="18" t="str">
        <x:v>HYPOTHESIS</x:v>
      </x:c>
      <x:c r="S5" s="18" t="str">
        <x:f>IF(AND(ABS(M5-E5*G5*K5)&lt;1,ABS(N5-(I5*L5+E5*J5*K5))&lt;1),"OK","FAIL")</x:f>
        <x:v>OK</x:v>
      </x:c>
    </x:row>
    <x:row r="6">
      <x:c r="A6" s="18" t="str">
        <x:v>Private_preschool</x:v>
      </x:c>
      <x:c r="B6" s="18" t="str">
        <x:v>base</x:v>
      </x:c>
      <x:c r="C6" s="20" t="n">
        <x:v>72</x:v>
      </x:c>
      <x:c r="D6" s="34" t="n">
        <x:v>0.85</x:v>
      </x:c>
      <x:c r="E6" s="33" t="n">
        <x:f>INT(C6*D6)</x:f>
        <x:v>61</x:v>
      </x:c>
      <x:c r="F6" s="18" t="str">
        <x:v>child_month</x:v>
      </x:c>
      <x:c r="G6" s="35" t="n">
        <x:v>55000</x:v>
      </x:c>
      <x:c r="H6" s="20" t="str">
        <x:v>monthly_ARPU_per_child</x:v>
      </x:c>
      <x:c r="I6" s="35" t="n">
        <x:v>2750000</x:v>
      </x:c>
      <x:c r="J6" s="35" t="n">
        <x:v>10000</x:v>
      </x:c>
      <x:c r="K6" s="20" t="n">
        <x:v>1</x:v>
      </x:c>
      <x:c r="L6" s="20" t="n">
        <x:v>1</x:v>
      </x:c>
      <x:c r="M6" s="36" t="n">
        <x:f>E6*G6*K6</x:f>
        <x:v>3355000</x:v>
      </x:c>
      <x:c r="N6" s="36" t="n">
        <x:f>I6*L6+E6*J6*K6</x:f>
        <x:v>3360000</x:v>
      </x:c>
      <x:c r="O6" s="36" t="n">
        <x:f>M6-N6</x:f>
        <x:v>-5000</x:v>
      </x:c>
      <x:c r="P6" s="37" t="n">
        <x:f>IF(M6=0,"",O6/M6)</x:f>
        <x:v>-0.0014903129657228018</x:v>
      </x:c>
      <x:c r="Q6" s="38" t="n">
        <x:f>IF((G6-J6)*K6&lt;=0,"",I6*L6/((G6-J6)*K6))</x:f>
        <x:v>61.111111111111114</x:v>
      </x:c>
      <x:c r="R6" s="18" t="str">
        <x:v>HYPOTHESIS</x:v>
      </x:c>
      <x:c r="S6" s="18" t="str">
        <x:f>IF(AND(ABS(M6-E6*G6*K6)&lt;1,ABS(N6-(I6*L6+E6*J6*K6))&lt;1),"OK","FAIL")</x:f>
        <x:v>OK</x:v>
      </x:c>
    </x:row>
    <x:row r="7">
      <x:c r="A7" s="18" t="str">
        <x:v>Private_preschool</x:v>
      </x:c>
      <x:c r="B7" s="18" t="str">
        <x:v>strong</x:v>
      </x:c>
      <x:c r="C7" s="20" t="n">
        <x:v>72</x:v>
      </x:c>
      <x:c r="D7" s="34" t="n">
        <x:v>0.95</x:v>
      </x:c>
      <x:c r="E7" s="33" t="n">
        <x:f>INT(C7*D7)</x:f>
        <x:v>68</x:v>
      </x:c>
      <x:c r="F7" s="18" t="str">
        <x:v>child_month</x:v>
      </x:c>
      <x:c r="G7" s="35" t="n">
        <x:v>58000</x:v>
      </x:c>
      <x:c r="H7" s="20" t="str">
        <x:v>monthly_ARPU_per_child</x:v>
      </x:c>
      <x:c r="I7" s="35" t="n">
        <x:v>2850000</x:v>
      </x:c>
      <x:c r="J7" s="35" t="n">
        <x:v>11000</x:v>
      </x:c>
      <x:c r="K7" s="20" t="n">
        <x:v>1</x:v>
      </x:c>
      <x:c r="L7" s="20" t="n">
        <x:v>1</x:v>
      </x:c>
      <x:c r="M7" s="36" t="n">
        <x:f>E7*G7*K7</x:f>
        <x:v>3944000</x:v>
      </x:c>
      <x:c r="N7" s="36" t="n">
        <x:f>I7*L7+E7*J7*K7</x:f>
        <x:v>3598000</x:v>
      </x:c>
      <x:c r="O7" s="36" t="n">
        <x:f>M7-N7</x:f>
        <x:v>346000</x:v>
      </x:c>
      <x:c r="P7" s="37" t="n">
        <x:f>IF(M7=0,"",O7/M7)</x:f>
        <x:v>0.08772819472616633</x:v>
      </x:c>
      <x:c r="Q7" s="38" t="n">
        <x:f>IF((G7-J7)*K7&lt;=0,"",I7*L7/((G7-J7)*K7))</x:f>
        <x:v>60.638297872340424</x:v>
      </x:c>
      <x:c r="R7" s="18" t="str">
        <x:v>HYPOTHESIS</x:v>
      </x:c>
      <x:c r="S7" s="18" t="str">
        <x:f>IF(AND(ABS(M7-E7*G7*K7)&lt;1,ABS(N7-(I7*L7+E7*J7*K7))&lt;1),"OK","FAIL")</x:f>
        <x:v>OK</x:v>
      </x:c>
    </x:row>
    <x:row r="8">
      <x:c r="A8" s="18" t="str">
        <x:v>Private_school</x:v>
      </x:c>
      <x:c r="B8" s="18" t="str">
        <x:v>bad</x:v>
      </x:c>
      <x:c r="C8" s="20" t="n">
        <x:v>70</x:v>
      </x:c>
      <x:c r="D8" s="34" t="n">
        <x:v>0.5</x:v>
      </x:c>
      <x:c r="E8" s="33" t="n">
        <x:f>INT(C8*D8)</x:f>
        <x:v>35</x:v>
      </x:c>
      <x:c r="F8" s="18" t="str">
        <x:v>student_month</x:v>
      </x:c>
      <x:c r="G8" s="35" t="n">
        <x:v>75000</x:v>
      </x:c>
      <x:c r="H8" s="20" t="str">
        <x:v>monthly_tuition_per_student</x:v>
      </x:c>
      <x:c r="I8" s="35" t="n">
        <x:v>5400000</x:v>
      </x:c>
      <x:c r="J8" s="35" t="n">
        <x:v>10000</x:v>
      </x:c>
      <x:c r="K8" s="20" t="n">
        <x:v>10</x:v>
      </x:c>
      <x:c r="L8" s="20" t="n">
        <x:v>12</x:v>
      </x:c>
      <x:c r="M8" s="36" t="n">
        <x:f>E8*G8*K8</x:f>
        <x:v>26250000</x:v>
      </x:c>
      <x:c r="N8" s="36" t="n">
        <x:f>I8*L8+E8*J8*K8</x:f>
        <x:v>68300000</x:v>
      </x:c>
      <x:c r="O8" s="36" t="n">
        <x:f>M8-N8</x:f>
        <x:v>-42050000</x:v>
      </x:c>
      <x:c r="P8" s="37" t="n">
        <x:f>IF(M8=0,"",O8/M8)</x:f>
        <x:v>-1.601904761904762</x:v>
      </x:c>
      <x:c r="Q8" s="38" t="n">
        <x:f>IF((G8-J8)*K8&lt;=0,"",I8*L8/((G8-J8)*K8))</x:f>
        <x:v>99.6923076923077</x:v>
      </x:c>
      <x:c r="R8" s="18" t="str">
        <x:v>HYPOTHESIS</x:v>
      </x:c>
      <x:c r="S8" s="18" t="str">
        <x:f>IF(AND(ABS(M8-E8*G8*K8)&lt;1,ABS(N8-(I8*L8+E8*J8*K8))&lt;1),"OK","FAIL")</x:f>
        <x:v>OK</x:v>
      </x:c>
    </x:row>
    <x:row r="9">
      <x:c r="A9" s="18" t="str">
        <x:v>Private_school</x:v>
      </x:c>
      <x:c r="B9" s="18" t="str">
        <x:v>base</x:v>
      </x:c>
      <x:c r="C9" s="20" t="n">
        <x:v>70</x:v>
      </x:c>
      <x:c r="D9" s="34" t="n">
        <x:v>0.79</x:v>
      </x:c>
      <x:c r="E9" s="33" t="n">
        <x:f>INT(C9*D9)</x:f>
        <x:v>55</x:v>
      </x:c>
      <x:c r="F9" s="18" t="str">
        <x:v>student_month</x:v>
      </x:c>
      <x:c r="G9" s="35" t="n">
        <x:v>85000</x:v>
      </x:c>
      <x:c r="H9" s="20" t="str">
        <x:v>monthly_tuition_per_student</x:v>
      </x:c>
      <x:c r="I9" s="35" t="n">
        <x:v>4900000</x:v>
      </x:c>
      <x:c r="J9" s="35" t="n">
        <x:v>10000</x:v>
      </x:c>
      <x:c r="K9" s="20" t="n">
        <x:v>10</x:v>
      </x:c>
      <x:c r="L9" s="20" t="n">
        <x:v>12</x:v>
      </x:c>
      <x:c r="M9" s="36" t="n">
        <x:f>E9*G9*K9</x:f>
        <x:v>46750000</x:v>
      </x:c>
      <x:c r="N9" s="36" t="n">
        <x:f>I9*L9+E9*J9*K9</x:f>
        <x:v>64300000</x:v>
      </x:c>
      <x:c r="O9" s="36" t="n">
        <x:f>M9-N9</x:f>
        <x:v>-17550000</x:v>
      </x:c>
      <x:c r="P9" s="37" t="n">
        <x:f>IF(M9=0,"",O9/M9)</x:f>
        <x:v>-0.3754010695187166</x:v>
      </x:c>
      <x:c r="Q9" s="38" t="n">
        <x:f>IF((G9-J9)*K9&lt;=0,"",I9*L9/((G9-J9)*K9))</x:f>
        <x:v>78.4</x:v>
      </x:c>
      <x:c r="R9" s="18" t="str">
        <x:v>HYPOTHESIS</x:v>
      </x:c>
      <x:c r="S9" s="18" t="str">
        <x:f>IF(AND(ABS(M9-E9*G9*K9)&lt;1,ABS(N9-(I9*L9+E9*J9*K9))&lt;1),"OK","FAIL")</x:f>
        <x:v>OK</x:v>
      </x:c>
    </x:row>
    <x:row r="10">
      <x:c r="A10" s="18" t="str">
        <x:v>Private_school</x:v>
      </x:c>
      <x:c r="B10" s="18" t="str">
        <x:v>strong</x:v>
      </x:c>
      <x:c r="C10" s="20" t="n">
        <x:v>70</x:v>
      </x:c>
      <x:c r="D10" s="34" t="n">
        <x:v>1</x:v>
      </x:c>
      <x:c r="E10" s="33" t="n">
        <x:f>INT(C10*D10)</x:f>
        <x:v>70</x:v>
      </x:c>
      <x:c r="F10" s="18" t="str">
        <x:v>student_month</x:v>
      </x:c>
      <x:c r="G10" s="35" t="n">
        <x:v>95000</x:v>
      </x:c>
      <x:c r="H10" s="20" t="str">
        <x:v>monthly_tuition_per_student</x:v>
      </x:c>
      <x:c r="I10" s="35" t="n">
        <x:v>4400000</x:v>
      </x:c>
      <x:c r="J10" s="35" t="n">
        <x:v>10000</x:v>
      </x:c>
      <x:c r="K10" s="20" t="n">
        <x:v>10</x:v>
      </x:c>
      <x:c r="L10" s="20" t="n">
        <x:v>12</x:v>
      </x:c>
      <x:c r="M10" s="36" t="n">
        <x:f>E10*G10*K10</x:f>
        <x:v>66500000</x:v>
      </x:c>
      <x:c r="N10" s="36" t="n">
        <x:f>I10*L10+E10*J10*K10</x:f>
        <x:v>59800000</x:v>
      </x:c>
      <x:c r="O10" s="36" t="n">
        <x:f>M10-N10</x:f>
        <x:v>6700000</x:v>
      </x:c>
      <x:c r="P10" s="37" t="n">
        <x:f>IF(M10=0,"",O10/M10)</x:f>
        <x:v>0.10075187969924812</x:v>
      </x:c>
      <x:c r="Q10" s="38" t="n">
        <x:f>IF((G10-J10)*K10&lt;=0,"",I10*L10/((G10-J10)*K10))</x:f>
        <x:v>62.11764705882353</x:v>
      </x:c>
      <x:c r="R10" s="18" t="str">
        <x:v>HYPOTHESIS</x:v>
      </x:c>
      <x:c r="S10" s="18" t="str">
        <x:f>IF(AND(ABS(M10-E10*G10*K10)&lt;1,ABS(N10-(I10*L10+E10*J10*K10))&lt;1),"OK","FAIL")</x:f>
        <x:v>OK</x:v>
      </x:c>
    </x:row>
    <x:row r="11">
      <x:c r="A11" s="18" t="str">
        <x:v>Additional_education</x:v>
      </x:c>
      <x:c r="B11" s="18" t="str">
        <x:v>bad</x:v>
      </x:c>
      <x:c r="C11" s="20" t="n">
        <x:v>416</x:v>
      </x:c>
      <x:c r="D11" s="34" t="n">
        <x:v>0.4</x:v>
      </x:c>
      <x:c r="E11" s="33" t="n">
        <x:f>INT(C11*D11)</x:f>
        <x:v>166</x:v>
      </x:c>
      <x:c r="F11" s="18" t="str">
        <x:v>class_slot</x:v>
      </x:c>
      <x:c r="G11" s="35" t="n">
        <x:v>4800</x:v>
      </x:c>
      <x:c r="H11" s="20" t="str">
        <x:v>4 children × 1200 per child</x:v>
      </x:c>
      <x:c r="I11" s="35" t="n">
        <x:v>850000</x:v>
      </x:c>
      <x:c r="J11" s="35" t="n">
        <x:v>2400</x:v>
      </x:c>
      <x:c r="K11" s="20" t="n">
        <x:v>1</x:v>
      </x:c>
      <x:c r="L11" s="20" t="n">
        <x:v>1</x:v>
      </x:c>
      <x:c r="M11" s="36" t="n">
        <x:f>E11*G11*K11</x:f>
        <x:v>796800</x:v>
      </x:c>
      <x:c r="N11" s="36" t="n">
        <x:f>I11*L11+E11*J11*K11</x:f>
        <x:v>1248400</x:v>
      </x:c>
      <x:c r="O11" s="36" t="n">
        <x:f>M11-N11</x:f>
        <x:v>-451600</x:v>
      </x:c>
      <x:c r="P11" s="37" t="n">
        <x:f>IF(M11=0,"",O11/M11)</x:f>
        <x:v>-0.5667670682730924</x:v>
      </x:c>
      <x:c r="Q11" s="38" t="n">
        <x:f>IF((G11-J11)*K11&lt;=0,"",I11*L11/((G11-J11)*K11))</x:f>
        <x:v>354.1666666666667</x:v>
      </x:c>
      <x:c r="R11" s="18" t="str">
        <x:v>HYPOTHESIS</x:v>
      </x:c>
      <x:c r="S11" s="18" t="str">
        <x:f>IF(AND(ABS(M11-E11*G11*K11)&lt;1,ABS(N11-(I11*L11+E11*J11*K11))&lt;1),"OK","FAIL")</x:f>
        <x:v>OK</x:v>
      </x:c>
    </x:row>
    <x:row r="12">
      <x:c r="A12" s="18" t="str">
        <x:v>Additional_education</x:v>
      </x:c>
      <x:c r="B12" s="18" t="str">
        <x:v>base</x:v>
      </x:c>
      <x:c r="C12" s="20" t="n">
        <x:v>416</x:v>
      </x:c>
      <x:c r="D12" s="34" t="n">
        <x:v>0.6</x:v>
      </x:c>
      <x:c r="E12" s="33" t="n">
        <x:f>INT(C12*D12)</x:f>
        <x:v>249</x:v>
      </x:c>
      <x:c r="F12" s="18" t="str">
        <x:v>class_slot</x:v>
      </x:c>
      <x:c r="G12" s="35" t="n">
        <x:v>9000</x:v>
      </x:c>
      <x:c r="H12" s="20" t="str">
        <x:v>6 children × 1500 per child</x:v>
      </x:c>
      <x:c r="I12" s="35" t="n">
        <x:v>950000</x:v>
      </x:c>
      <x:c r="J12" s="35" t="n">
        <x:v>2920</x:v>
      </x:c>
      <x:c r="K12" s="20" t="n">
        <x:v>1</x:v>
      </x:c>
      <x:c r="L12" s="20" t="n">
        <x:v>1</x:v>
      </x:c>
      <x:c r="M12" s="36" t="n">
        <x:f>E12*G12*K12</x:f>
        <x:v>2241000</x:v>
      </x:c>
      <x:c r="N12" s="36" t="n">
        <x:f>I12*L12+E12*J12*K12</x:f>
        <x:v>1677080</x:v>
      </x:c>
      <x:c r="O12" s="36" t="n">
        <x:f>M12-N12</x:f>
        <x:v>563920</x:v>
      </x:c>
      <x:c r="P12" s="37" t="n">
        <x:f>IF(M12=0,"",O12/M12)</x:f>
        <x:v>0.25163766175814367</x:v>
      </x:c>
      <x:c r="Q12" s="38" t="n">
        <x:f>IF((G12-J12)*K12&lt;=0,"",I12*L12/((G12-J12)*K12))</x:f>
        <x:v>156.25</x:v>
      </x:c>
      <x:c r="R12" s="18" t="str">
        <x:v>HYPOTHESIS</x:v>
      </x:c>
      <x:c r="S12" s="18" t="str">
        <x:f>IF(AND(ABS(M12-E12*G12*K12)&lt;1,ABS(N12-(I12*L12+E12*J12*K12))&lt;1),"OK","FAIL")</x:f>
        <x:v>OK</x:v>
      </x:c>
    </x:row>
    <x:row r="13">
      <x:c r="A13" s="18" t="str">
        <x:v>Additional_education</x:v>
      </x:c>
      <x:c r="B13" s="18" t="str">
        <x:v>strong</x:v>
      </x:c>
      <x:c r="C13" s="20" t="n">
        <x:v>416</x:v>
      </x:c>
      <x:c r="D13" s="34" t="n">
        <x:v>0.75</x:v>
      </x:c>
      <x:c r="E13" s="33" t="n">
        <x:f>INT(C13*D13)</x:f>
        <x:v>312</x:v>
      </x:c>
      <x:c r="F13" s="18" t="str">
        <x:v>class_slot</x:v>
      </x:c>
      <x:c r="G13" s="35" t="n">
        <x:v>12240</x:v>
      </x:c>
      <x:c r="H13" s="20" t="str">
        <x:v>7.2 children × 1700 per child</x:v>
      </x:c>
      <x:c r="I13" s="35" t="n">
        <x:v>1050000</x:v>
      </x:c>
      <x:c r="J13" s="35" t="n">
        <x:v>3580</x:v>
      </x:c>
      <x:c r="K13" s="20" t="n">
        <x:v>1</x:v>
      </x:c>
      <x:c r="L13" s="20" t="n">
        <x:v>1</x:v>
      </x:c>
      <x:c r="M13" s="36" t="n">
        <x:f>E13*G13*K13</x:f>
        <x:v>3818880</x:v>
      </x:c>
      <x:c r="N13" s="36" t="n">
        <x:f>I13*L13+E13*J13*K13</x:f>
        <x:v>2166960</x:v>
      </x:c>
      <x:c r="O13" s="36" t="n">
        <x:f>M13-N13</x:f>
        <x:v>1651920</x:v>
      </x:c>
      <x:c r="P13" s="37" t="n">
        <x:f>IF(M13=0,"",O13/M13)</x:f>
        <x:v>0.4325666163901458</x:v>
      </x:c>
      <x:c r="Q13" s="38" t="n">
        <x:f>IF((G13-J13)*K13&lt;=0,"",I13*L13/((G13-J13)*K13))</x:f>
        <x:v>121.24711316397229</x:v>
      </x:c>
      <x:c r="R13" s="18" t="str">
        <x:v>HYPOTHESIS</x:v>
      </x:c>
      <x:c r="S13" s="18" t="str">
        <x:f>IF(AND(ABS(M13-E13*G13*K13)&lt;1,ABS(N13-(I13*L13+E13*J13*K13))&lt;1),"OK","FAIL")</x:f>
        <x:v>OK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6" hidden="0" customWidth="1"/>
    <x:col min="4" max="4" width="17" hidden="0" customWidth="1"/>
    <x:col min="5" max="5" width="48" hidden="0" customWidth="1"/>
    <x:col min="6" max="6" width="15" hidden="0" customWidth="1"/>
    <x:col min="7" max="7" width="15" hidden="0" customWidth="1"/>
    <x:col min="8" max="8" width="16" hidden="0" customWidth="1"/>
    <x:col min="9" max="9" width="16" hidden="0" customWidth="1"/>
    <x:col min="10" max="10" width="46" hidden="0" customWidth="1"/>
  </x:cols>
  <x:sheetData>
    <x:row r="1" ht="30" customHeight="1">
      <x:c r="A1" s="4" t="str">
        <x:v>История рынка и сценарии до 2030 года</x:v>
      </x:c>
      <x:c r="B1" s="4" t="str">
        <x:v>История рынка и сценарии до 2030 года</x:v>
      </x:c>
      <x:c r="C1" s="4" t="str">
        <x:v>История рынка и сценарии до 2030 года</x:v>
      </x:c>
      <x:c r="D1" s="4" t="str">
        <x:v>История рынка и сценарии до 2030 года</x:v>
      </x:c>
      <x:c r="E1" s="4" t="str">
        <x:v>История рынка и сценарии до 2030 года</x:v>
      </x:c>
      <x:c r="F1" s="4" t="str">
        <x:v>История рынка и сценарии до 2030 года</x:v>
      </x:c>
      <x:c r="G1" s="4" t="str">
        <x:v>История рынка и сценарии до 2030 года</x:v>
      </x:c>
      <x:c r="H1" s="4" t="str">
        <x:v>История рынка и сценарии до 2030 года</x:v>
      </x:c>
      <x:c r="I1" s="4" t="str">
        <x:v>История рынка и сценарии до 2030 года</x:v>
      </x:c>
      <x:c r="J1" s="4" t="str">
        <x:v>История рынка и сценарии до 2030 года</x:v>
      </x:c>
      <x:c r="K1" s="4" t="str">
        <x:v>История рынка и сценарии до 2030 года</x:v>
      </x:c>
      <x:c r="L1" s="4" t="str">
        <x:v>История рынка и сценарии до 2030 года</x:v>
      </x:c>
      <x:c r="M1" s="4" t="str">
        <x:v>История рынка и сценарии до 2030 года</x:v>
      </x:c>
      <x:c r="N1" s="4" t="str">
        <x:v>История рынка и сценарии до 2030 года</x:v>
      </x:c>
      <x:c r="O1" s="4" t="str">
        <x:v>История рынка и сценарии до 2030 года</x:v>
      </x:c>
      <x:c r="P1" s="4" t="str">
        <x:v>История рынка и сценарии до 2030 года</x:v>
      </x:c>
      <x:c r="Q1" s="4" t="str">
        <x:v>История рынка и сценарии до 2030 года</x:v>
      </x:c>
    </x:row>
    <x:row r="2" ht="32" customHeight="1">
      <x:c r="A2" s="8" t="str">
        <x:v>Индексы — реальные, 2024=100 для прогноза. Сценарии — гипотезы с диапазоном, а не одна линия.</x:v>
      </x:c>
      <x:c r="B2" s="8" t="str">
        <x:v>Индексы — реальные, 2024=100 для прогноза. Сценарии — гипотезы с диапазоном, а не одна линия.</x:v>
      </x:c>
      <x:c r="C2" s="8" t="str">
        <x:v>Индексы — реальные, 2024=100 для прогноза. Сценарии — гипотезы с диапазоном, а не одна линия.</x:v>
      </x:c>
      <x:c r="D2" s="8" t="str">
        <x:v>Индексы — реальные, 2024=100 для прогноза. Сценарии — гипотезы с диапазоном, а не одна линия.</x:v>
      </x:c>
      <x:c r="E2" s="8" t="str">
        <x:v>Индексы — реальные, 2024=100 для прогноза. Сценарии — гипотезы с диапазоном, а не одна линия.</x:v>
      </x:c>
      <x:c r="F2" s="8" t="str">
        <x:v>Индексы — реальные, 2024=100 для прогноза. Сценарии — гипотезы с диапазоном, а не одна линия.</x:v>
      </x:c>
      <x:c r="G2" s="8" t="str">
        <x:v>Индексы — реальные, 2024=100 для прогноза. Сценарии — гипотезы с диапазоном, а не одна линия.</x:v>
      </x:c>
      <x:c r="H2" s="8" t="str">
        <x:v>Индексы — реальные, 2024=100 для прогноза. Сценарии — гипотезы с диапазоном, а не одна линия.</x:v>
      </x:c>
      <x:c r="I2" s="8" t="str">
        <x:v>Индексы — реальные, 2024=100 для прогноза. Сценарии — гипотезы с диапазоном, а не одна линия.</x:v>
      </x:c>
      <x:c r="J2" s="8" t="str">
        <x:v>Индексы — реальные, 2024=100 для прогноза. Сценарии — гипотезы с диапазоном, а не одна линия.</x:v>
      </x:c>
      <x:c r="K2" s="8" t="str">
        <x:v>Индексы — реальные, 2024=100 для прогноза. Сценарии — гипотезы с диапазоном, а не одна линия.</x:v>
      </x:c>
      <x:c r="L2" s="8" t="str">
        <x:v>Индексы — реальные, 2024=100 для прогноза. Сценарии — гипотезы с диапазоном, а не одна линия.</x:v>
      </x:c>
      <x:c r="M2" s="8" t="str">
        <x:v>Индексы — реальные, 2024=100 для прогноза. Сценарии — гипотезы с диапазоном, а не одна линия.</x:v>
      </x:c>
      <x:c r="N2" s="8" t="str">
        <x:v>Индексы — реальные, 2024=100 для прогноза. Сценарии — гипотезы с диапазоном, а не одна линия.</x:v>
      </x:c>
      <x:c r="O2" s="8" t="str">
        <x:v>Индексы — реальные, 2024=100 для прогноза. Сценарии — гипотезы с диапазоном, а не одна линия.</x:v>
      </x:c>
      <x:c r="P2" s="8" t="str">
        <x:v>Индексы — реальные, 2024=100 для прогноза. Сценарии — гипотезы с диапазоном, а не одна линия.</x:v>
      </x:c>
      <x:c r="Q2" s="8" t="str">
        <x:v>Индексы — реальные, 2024=100 для прогноза. Сценарии — гипотезы с диапазоном, а не одна линия.</x:v>
      </x:c>
    </x:row>
    <x:row r="4" ht="22" customHeight="1">
      <x:c r="A4" s="41" t="str">
        <x:v>Историческая база России, 2019–2025</x:v>
      </x:c>
      <x:c r="B4" s="41" t="str">
        <x:v>Историческая база России, 2019–2025</x:v>
      </x:c>
      <x:c r="C4" s="41" t="str">
        <x:v>Историческая база России, 2019–2025</x:v>
      </x:c>
      <x:c r="D4" s="41" t="str">
        <x:v>Историческая база России, 2019–2025</x:v>
      </x:c>
      <x:c r="E4" s="41" t="str">
        <x:v>Историческая база России, 2019–2025</x:v>
      </x:c>
      <x:c r="F4" s="41" t="str">
        <x:v>Историческая база России, 2019–2025</x:v>
      </x:c>
      <x:c r="G4" s="41" t="str">
        <x:v>Историческая база России, 2019–2025</x:v>
      </x:c>
      <x:c r="H4" s="41" t="str">
        <x:v>Историческая база России, 2019–2025</x:v>
      </x:c>
      <x:c r="I4" s="41" t="str">
        <x:v>Историческая база России, 2019–2025</x:v>
      </x:c>
    </x:row>
    <x:row r="5" ht="30" customHeight="1">
      <x:c r="A5" s="14" t="str">
        <x:v>segment</x:v>
      </x:c>
      <x:c r="B5" s="14" t="str">
        <x:v>metric</x:v>
      </x:c>
      <x:c r="C5" s="14" t="str">
        <x:v>unit</x:v>
      </x:c>
      <x:c r="D5" s="14" t="str">
        <x:v>year</x:v>
      </x:c>
      <x:c r="E5" s="14" t="str">
        <x:v>value</x:v>
      </x:c>
      <x:c r="F5" s="14" t="str">
        <x:v>classification</x:v>
      </x:c>
      <x:c r="G5" s="14" t="str">
        <x:v>source_id</x:v>
      </x:c>
      <x:c r="H5" s="14" t="str">
        <x:v>confidence</x:v>
      </x:c>
      <x:c r="I5" s="14" t="str">
        <x:v>note</x:v>
      </x:c>
      <x:c r="K5" s="14" t="str">
        <x:v>Year</x:v>
      </x:c>
      <x:c r="L5" s="14" t="str">
        <x:v>Births (2019=100)</x:v>
      </x:c>
      <x:c r="M5" s="14" t="str">
        <x:v>Preschool children (2019=100)</x:v>
      </x:c>
      <x:c r="N5" s="14" t="str">
        <x:v>Private school students (2021=100)</x:v>
      </x:c>
      <x:c r="O5" s="14" t="str">
        <x:v>Add-ed registrations (2019=100)</x:v>
      </x:c>
    </x:row>
    <x:row r="6">
      <x:c r="A6" s="18" t="str">
        <x:v>preschool</x:v>
      </x:c>
      <x:c r="B6" s="18" t="str">
        <x:v>organizations_total</x:v>
      </x:c>
      <x:c r="C6" s="18" t="str">
        <x:v>thousand</x:v>
      </x:c>
      <x:c r="D6" s="18" t="n">
        <x:v>2019</x:v>
      </x:c>
      <x:c r="E6" s="18" t="n">
        <x:v>35.7</x:v>
      </x:c>
      <x:c r="F6" s="25" t="str">
        <x:v>FACT</x:v>
      </x:c>
      <x:c r="G6" s="18" t="str">
        <x:v>S1</x:v>
      </x:c>
      <x:c r="H6" s="18" t="str">
        <x:v>high</x:v>
      </x:c>
      <x:c r="I6" s="18" t="str">
        <x:v>HSE estimate from form 85-K</x:v>
      </x:c>
      <x:c r="K6" s="18" t="n">
        <x:v>2019</x:v>
      </x:c>
      <x:c r="L6" s="42" t="n">
        <x:f>E48/E48*100</x:f>
        <x:v>100</x:v>
      </x:c>
      <x:c r="M6" s="42" t="n">
        <x:f>E12/E12*100</x:f>
        <x:v>100</x:v>
      </x:c>
      <x:c r="N6" s="42"/>
      <x:c r="O6" s="42" t="n">
        <x:f>E36/E36*100</x:f>
        <x:v>100</x:v>
      </x:c>
    </x:row>
    <x:row r="7">
      <x:c r="A7" s="18" t="str">
        <x:v>preschool</x:v>
      </x:c>
      <x:c r="B7" s="18" t="str">
        <x:v>organizations_total</x:v>
      </x:c>
      <x:c r="C7" s="18" t="str">
        <x:v>thousand</x:v>
      </x:c>
      <x:c r="D7" s="18" t="n">
        <x:v>2020</x:v>
      </x:c>
      <x:c r="E7" s="18" t="n">
        <x:v>35.2</x:v>
      </x:c>
      <x:c r="F7" s="25" t="str">
        <x:v>FACT</x:v>
      </x:c>
      <x:c r="G7" s="18" t="str">
        <x:v>S1</x:v>
      </x:c>
      <x:c r="H7" s="18" t="str">
        <x:v>high</x:v>
      </x:c>
      <x:c r="I7" s="18" t="str">
        <x:v>HSE estimate from form 85-K</x:v>
      </x:c>
      <x:c r="K7" s="18" t="n">
        <x:v>2020</x:v>
      </x:c>
      <x:c r="L7" s="42" t="n">
        <x:f>E49/E48*100</x:f>
        <x:v>96.99137247699979</x:v>
      </x:c>
      <x:c r="M7" s="42" t="n">
        <x:f>E13/E12*100</x:f>
        <x:v>97.84663520317615</x:v>
      </x:c>
      <x:c r="N7" s="42"/>
      <x:c r="O7" s="42" t="n">
        <x:f>E37/E36*100</x:f>
        <x:v>97.20973411244167</x:v>
      </x:c>
    </x:row>
    <x:row r="8">
      <x:c r="A8" s="18" t="str">
        <x:v>preschool</x:v>
      </x:c>
      <x:c r="B8" s="18" t="str">
        <x:v>organizations_total</x:v>
      </x:c>
      <x:c r="C8" s="18" t="str">
        <x:v>thousand</x:v>
      </x:c>
      <x:c r="D8" s="18" t="n">
        <x:v>2021</x:v>
      </x:c>
      <x:c r="E8" s="18" t="n">
        <x:v>33.9</x:v>
      </x:c>
      <x:c r="F8" s="25" t="str">
        <x:v>FACT</x:v>
      </x:c>
      <x:c r="G8" s="18" t="str">
        <x:v>S1</x:v>
      </x:c>
      <x:c r="H8" s="18" t="str">
        <x:v>high</x:v>
      </x:c>
      <x:c r="I8" s="18" t="str">
        <x:v>HSE estimate from form 85-K</x:v>
      </x:c>
      <x:c r="K8" s="18" t="n">
        <x:v>2021</x:v>
      </x:c>
      <x:c r="L8" s="42" t="n">
        <x:f>E50/E48*100</x:f>
        <x:v>94.40804443262118</x:v>
      </x:c>
      <x:c r="M8" s="42" t="n">
        <x:f>E14/E12*100</x:f>
        <x:v>96.50176817805357</x:v>
      </x:c>
      <x:c r="N8" s="42" t="n">
        <x:f>E28/E28*100</x:f>
        <x:v>100</x:v>
      </x:c>
      <x:c r="O8" s="42" t="n">
        <x:f>E38/E36*100</x:f>
        <x:v>104.92507758017243</x:v>
      </x:c>
    </x:row>
    <x:row r="9">
      <x:c r="A9" s="18" t="str">
        <x:v>preschool</x:v>
      </x:c>
      <x:c r="B9" s="18" t="str">
        <x:v>organizations_total</x:v>
      </x:c>
      <x:c r="C9" s="18" t="str">
        <x:v>thousand</x:v>
      </x:c>
      <x:c r="D9" s="18" t="n">
        <x:v>2022</x:v>
      </x:c>
      <x:c r="E9" s="18" t="n">
        <x:v>32.8</x:v>
      </x:c>
      <x:c r="F9" s="25" t="str">
        <x:v>FACT</x:v>
      </x:c>
      <x:c r="G9" s="18" t="str">
        <x:v>S1</x:v>
      </x:c>
      <x:c r="H9" s="18" t="str">
        <x:v>high</x:v>
      </x:c>
      <x:c r="I9" s="18" t="str">
        <x:v>HSE estimate from form 85-K</x:v>
      </x:c>
      <x:c r="K9" s="18" t="n">
        <x:v>2022</x:v>
      </x:c>
      <x:c r="L9" s="42" t="n">
        <x:f>E51/E48*100</x:f>
        <x:v>88.05009067744083</x:v>
      </x:c>
      <x:c r="M9" s="42" t="n">
        <x:f>E15/E12*100</x:f>
        <x:v>92.13062168877437</x:v>
      </x:c>
      <x:c r="N9" s="42" t="n">
        <x:f>E29/E28*100</x:f>
        <x:v>113.01587301587301</x:v>
      </x:c>
      <x:c r="O9" s="42" t="n">
        <x:f>E39/E36*100</x:f>
        <x:v>112.66288092894068</x:v>
      </x:c>
    </x:row>
    <x:row r="10">
      <x:c r="A10" s="18" t="str">
        <x:v>preschool</x:v>
      </x:c>
      <x:c r="B10" s="18" t="str">
        <x:v>organizations_total</x:v>
      </x:c>
      <x:c r="C10" s="18" t="str">
        <x:v>thousand</x:v>
      </x:c>
      <x:c r="D10" s="18" t="n">
        <x:v>2023</x:v>
      </x:c>
      <x:c r="E10" s="18" t="n">
        <x:v>32</x:v>
      </x:c>
      <x:c r="F10" s="25" t="str">
        <x:v>FACT</x:v>
      </x:c>
      <x:c r="G10" s="18" t="str">
        <x:v>S1</x:v>
      </x:c>
      <x:c r="H10" s="18" t="str">
        <x:v>high</x:v>
      </x:c>
      <x:c r="I10" s="18" t="str">
        <x:v>HSE estimate from form 85-K</x:v>
      </x:c>
      <x:c r="K10" s="18" t="n">
        <x:v>2023</x:v>
      </x:c>
      <x:c r="L10" s="42" t="n">
        <x:f>E52/E48*100</x:f>
        <x:v>85.40680614202937</x:v>
      </x:c>
      <x:c r="M10" s="42" t="n">
        <x:f>E16/E12*100</x:f>
        <x:v>87.62012436404748</x:v>
      </x:c>
      <x:c r="N10" s="42" t="n">
        <x:f>E30/E28*100</x:f>
        <x:v>130.79365079365078</x:v>
      </x:c>
      <x:c r="O10" s="42" t="n">
        <x:f>E40/E36*100</x:f>
        <x:v>123.94447917407531</x:v>
      </x:c>
    </x:row>
    <x:row r="11">
      <x:c r="A11" s="18" t="str">
        <x:v>preschool</x:v>
      </x:c>
      <x:c r="B11" s="18" t="str">
        <x:v>organizations_total</x:v>
      </x:c>
      <x:c r="C11" s="18" t="str">
        <x:v>thousand</x:v>
      </x:c>
      <x:c r="D11" s="18" t="n">
        <x:v>2024</x:v>
      </x:c>
      <x:c r="E11" s="18" t="n">
        <x:v>31.2</x:v>
      </x:c>
      <x:c r="F11" s="25" t="str">
        <x:v>FACT</x:v>
      </x:c>
      <x:c r="G11" s="18" t="str">
        <x:v>S1</x:v>
      </x:c>
      <x:c r="H11" s="18" t="str">
        <x:v>high</x:v>
      </x:c>
      <x:c r="I11" s="18" t="str">
        <x:v>HSE estimate from form 85-K</x:v>
      </x:c>
      <x:c r="K11" s="18" t="n">
        <x:v>2024</x:v>
      </x:c>
      <x:c r="L11" s="42" t="n">
        <x:f>E53/E48*100</x:f>
        <x:v>82.53524131812455</x:v>
      </x:c>
      <x:c r="M11" s="42" t="n">
        <x:f>E17/E12*100</x:f>
        <x:v>83.9431027909606</x:v>
      </x:c>
      <x:c r="N11" s="42" t="n">
        <x:f>E31/E28*100</x:f>
        <x:v>148.57142857142858</x:v>
      </x:c>
      <x:c r="O11" s="42" t="n">
        <x:f>E41/E36*100</x:f>
        <x:v>130.89281770437555</x:v>
      </x:c>
    </x:row>
    <x:row r="12">
      <x:c r="A12" s="18" t="str">
        <x:v>preschool</x:v>
      </x:c>
      <x:c r="B12" s="18" t="str">
        <x:v>children_total</x:v>
      </x:c>
      <x:c r="C12" s="18" t="str">
        <x:v>thousand</x:v>
      </x:c>
      <x:c r="D12" s="18" t="n">
        <x:v>2019</x:v>
      </x:c>
      <x:c r="E12" s="18" t="n">
        <x:v>7606.7</x:v>
      </x:c>
      <x:c r="F12" s="25" t="str">
        <x:v>FACT</x:v>
      </x:c>
      <x:c r="G12" s="18" t="str">
        <x:v>S1</x:v>
      </x:c>
      <x:c r="H12" s="18" t="str">
        <x:v>high</x:v>
      </x:c>
      <x:c r="I12" s="18" t="str">
        <x:v>education plus care organizations</x:v>
      </x:c>
    </x:row>
    <x:row r="13">
      <x:c r="A13" s="18" t="str">
        <x:v>preschool</x:v>
      </x:c>
      <x:c r="B13" s="18" t="str">
        <x:v>children_total</x:v>
      </x:c>
      <x:c r="C13" s="18" t="str">
        <x:v>thousand</x:v>
      </x:c>
      <x:c r="D13" s="18" t="n">
        <x:v>2020</x:v>
      </x:c>
      <x:c r="E13" s="18" t="n">
        <x:v>7442.9</x:v>
      </x:c>
      <x:c r="F13" s="25" t="str">
        <x:v>FACT</x:v>
      </x:c>
      <x:c r="G13" s="18" t="str">
        <x:v>S1</x:v>
      </x:c>
      <x:c r="H13" s="18" t="str">
        <x:v>high</x:v>
      </x:c>
      <x:c r="I13" s="18" t="str">
        <x:v>education plus care organizations</x:v>
      </x:c>
    </x:row>
    <x:row r="14">
      <x:c r="A14" s="18" t="str">
        <x:v>preschool</x:v>
      </x:c>
      <x:c r="B14" s="18" t="str">
        <x:v>children_total</x:v>
      </x:c>
      <x:c r="C14" s="18" t="str">
        <x:v>thousand</x:v>
      </x:c>
      <x:c r="D14" s="18" t="n">
        <x:v>2021</x:v>
      </x:c>
      <x:c r="E14" s="18" t="n">
        <x:v>7340.6</x:v>
      </x:c>
      <x:c r="F14" s="25" t="str">
        <x:v>FACT</x:v>
      </x:c>
      <x:c r="G14" s="18" t="str">
        <x:v>S1</x:v>
      </x:c>
      <x:c r="H14" s="18" t="str">
        <x:v>high</x:v>
      </x:c>
      <x:c r="I14" s="18" t="str">
        <x:v>education plus care organizations</x:v>
      </x:c>
    </x:row>
    <x:row r="15" ht="30" customHeight="1">
      <x:c r="A15" s="18" t="str">
        <x:v>preschool</x:v>
      </x:c>
      <x:c r="B15" s="18" t="str">
        <x:v>children_total</x:v>
      </x:c>
      <x:c r="C15" s="18" t="str">
        <x:v>thousand</x:v>
      </x:c>
      <x:c r="D15" s="18" t="n">
        <x:v>2022</x:v>
      </x:c>
      <x:c r="E15" s="18" t="n">
        <x:v>7008.1</x:v>
      </x:c>
      <x:c r="F15" s="25" t="str">
        <x:v>FACT</x:v>
      </x:c>
      <x:c r="G15" s="18" t="str">
        <x:v>S1</x:v>
      </x:c>
      <x:c r="H15" s="18" t="str">
        <x:v>high</x:v>
      </x:c>
      <x:c r="I15" s="18" t="str">
        <x:v>education plus care organizations</x:v>
      </x:c>
      <x:c r="K15" s="14" t="str">
        <x:v>Scenario</x:v>
      </x:c>
      <x:c r="L15" s="14" t="str">
        <x:v>Preschool</x:v>
      </x:c>
      <x:c r="M15" s="14" t="str">
        <x:v>Private school</x:v>
      </x:c>
      <x:c r="N15" s="14" t="str">
        <x:v>Additional education</x:v>
      </x:c>
    </x:row>
    <x:row r="16">
      <x:c r="A16" s="18" t="str">
        <x:v>preschool</x:v>
      </x:c>
      <x:c r="B16" s="18" t="str">
        <x:v>children_total</x:v>
      </x:c>
      <x:c r="C16" s="18" t="str">
        <x:v>thousand</x:v>
      </x:c>
      <x:c r="D16" s="18" t="n">
        <x:v>2023</x:v>
      </x:c>
      <x:c r="E16" s="18" t="n">
        <x:v>6665</x:v>
      </x:c>
      <x:c r="F16" s="25" t="str">
        <x:v>FACT</x:v>
      </x:c>
      <x:c r="G16" s="18" t="str">
        <x:v>S1</x:v>
      </x:c>
      <x:c r="H16" s="18" t="str">
        <x:v>high</x:v>
      </x:c>
      <x:c r="I16" s="18" t="str">
        <x:v>education plus care organizations</x:v>
      </x:c>
      <x:c r="K16" s="18" t="str">
        <x:v>negative</x:v>
      </x:c>
      <x:c r="L16" s="42" t="n">
        <x:f>G61*100</x:f>
        <x:v>69.69999999999999</x:v>
      </x:c>
      <x:c r="M16" s="42" t="n">
        <x:f>G73*100</x:f>
        <x:v>76.9</x:v>
      </x:c>
      <x:c r="N16" s="42" t="n">
        <x:f>G85*100</x:f>
        <x:v>72.89999999999999</x:v>
      </x:c>
    </x:row>
    <x:row r="17">
      <x:c r="A17" s="18" t="str">
        <x:v>preschool</x:v>
      </x:c>
      <x:c r="B17" s="18" t="str">
        <x:v>children_total</x:v>
      </x:c>
      <x:c r="C17" s="18" t="str">
        <x:v>thousand</x:v>
      </x:c>
      <x:c r="D17" s="18" t="n">
        <x:v>2024</x:v>
      </x:c>
      <x:c r="E17" s="18" t="n">
        <x:v>6385.3</x:v>
      </x:c>
      <x:c r="F17" s="25" t="str">
        <x:v>FACT</x:v>
      </x:c>
      <x:c r="G17" s="18" t="str">
        <x:v>S1</x:v>
      </x:c>
      <x:c r="H17" s="18" t="str">
        <x:v>high</x:v>
      </x:c>
      <x:c r="I17" s="18" t="str">
        <x:v>education plus care organizations</x:v>
      </x:c>
      <x:c r="K17" s="18" t="str">
        <x:v>base</x:v>
      </x:c>
      <x:c r="L17" s="42" t="n">
        <x:f>G65*100</x:f>
        <x:v>92.60000000000001</x:v>
      </x:c>
      <x:c r="M17" s="42" t="n">
        <x:f>G77*100</x:f>
        <x:v>111.7</x:v>
      </x:c>
      <x:c r="N17" s="42" t="n">
        <x:f>G89*100</x:f>
        <x:v>111.80000000000001</x:v>
      </x:c>
    </x:row>
    <x:row r="18">
      <x:c r="A18" s="18" t="str">
        <x:v>preschool</x:v>
      </x:c>
      <x:c r="B18" s="18" t="str">
        <x:v>children_private</x:v>
      </x:c>
      <x:c r="C18" s="18" t="str">
        <x:v>thousand</x:v>
      </x:c>
      <x:c r="D18" s="18" t="n">
        <x:v>2020</x:v>
      </x:c>
      <x:c r="E18" s="18" t="n">
        <x:v>107.2</x:v>
      </x:c>
      <x:c r="F18" s="25" t="str">
        <x:v>FACT</x:v>
      </x:c>
      <x:c r="G18" s="18" t="str">
        <x:v>S1</x:v>
      </x:c>
      <x:c r="H18" s="18" t="str">
        <x:v>high</x:v>
      </x:c>
      <x:c r="I18" s="18" t="str">
        <x:v>private enrollment</x:v>
      </x:c>
      <x:c r="K18" s="18" t="str">
        <x:v>strong</x:v>
      </x:c>
      <x:c r="L18" s="42" t="n">
        <x:f>G69*100</x:f>
        <x:v>125.89999999999999</x:v>
      </x:c>
      <x:c r="M18" s="42" t="n">
        <x:f>G81*100</x:f>
        <x:v>160.7</x:v>
      </x:c>
      <x:c r="N18" s="42" t="n">
        <x:f>G93*100</x:f>
        <x:v>163.5</x:v>
      </x:c>
    </x:row>
    <x:row r="19">
      <x:c r="A19" s="18" t="str">
        <x:v>preschool</x:v>
      </x:c>
      <x:c r="B19" s="18" t="str">
        <x:v>children_private</x:v>
      </x:c>
      <x:c r="C19" s="18" t="str">
        <x:v>thousand</x:v>
      </x:c>
      <x:c r="D19" s="18" t="n">
        <x:v>2021</x:v>
      </x:c>
      <x:c r="E19" s="18" t="n">
        <x:v>113.8</x:v>
      </x:c>
      <x:c r="F19" s="25" t="str">
        <x:v>FACT</x:v>
      </x:c>
      <x:c r="G19" s="18" t="str">
        <x:v>S1</x:v>
      </x:c>
      <x:c r="H19" s="18" t="str">
        <x:v>high</x:v>
      </x:c>
      <x:c r="I19" s="18" t="str">
        <x:v>private enrollment</x:v>
      </x:c>
    </x:row>
    <x:row r="20">
      <x:c r="A20" s="18" t="str">
        <x:v>preschool</x:v>
      </x:c>
      <x:c r="B20" s="18" t="str">
        <x:v>children_private</x:v>
      </x:c>
      <x:c r="C20" s="18" t="str">
        <x:v>thousand</x:v>
      </x:c>
      <x:c r="D20" s="18" t="n">
        <x:v>2022</x:v>
      </x:c>
      <x:c r="E20" s="18" t="n">
        <x:v>110</x:v>
      </x:c>
      <x:c r="F20" s="25" t="str">
        <x:v>FACT</x:v>
      </x:c>
      <x:c r="G20" s="18" t="str">
        <x:v>S1</x:v>
      </x:c>
      <x:c r="H20" s="18" t="str">
        <x:v>high</x:v>
      </x:c>
      <x:c r="I20" s="18" t="str">
        <x:v>private enrollment</x:v>
      </x:c>
    </x:row>
    <x:row r="21">
      <x:c r="A21" s="18" t="str">
        <x:v>preschool</x:v>
      </x:c>
      <x:c r="B21" s="18" t="str">
        <x:v>children_private</x:v>
      </x:c>
      <x:c r="C21" s="18" t="str">
        <x:v>thousand</x:v>
      </x:c>
      <x:c r="D21" s="18" t="n">
        <x:v>2023</x:v>
      </x:c>
      <x:c r="E21" s="18" t="n">
        <x:v>105</x:v>
      </x:c>
      <x:c r="F21" s="25" t="str">
        <x:v>FACT</x:v>
      </x:c>
      <x:c r="G21" s="18" t="str">
        <x:v>S1</x:v>
      </x:c>
      <x:c r="H21" s="18" t="str">
        <x:v>high</x:v>
      </x:c>
      <x:c r="I21" s="18" t="str">
        <x:v>private enrollment</x:v>
      </x:c>
    </x:row>
    <x:row r="22">
      <x:c r="A22" s="18" t="str">
        <x:v>preschool</x:v>
      </x:c>
      <x:c r="B22" s="18" t="str">
        <x:v>children_private</x:v>
      </x:c>
      <x:c r="C22" s="18" t="str">
        <x:v>thousand</x:v>
      </x:c>
      <x:c r="D22" s="18" t="n">
        <x:v>2024</x:v>
      </x:c>
      <x:c r="E22" s="18" t="n">
        <x:v>104.5</x:v>
      </x:c>
      <x:c r="F22" s="25" t="str">
        <x:v>FACT</x:v>
      </x:c>
      <x:c r="G22" s="18" t="str">
        <x:v>S1</x:v>
      </x:c>
      <x:c r="H22" s="18" t="str">
        <x:v>high</x:v>
      </x:c>
      <x:c r="I22" s="18" t="str">
        <x:v>private enrollment</x:v>
      </x:c>
    </x:row>
    <x:row r="23">
      <x:c r="A23" s="18" t="str">
        <x:v>preschool</x:v>
      </x:c>
      <x:c r="B23" s="18" t="str">
        <x:v>private_share_of_enrolled</x:v>
      </x:c>
      <x:c r="C23" s="18" t="str">
        <x:v>percent</x:v>
      </x:c>
      <x:c r="D23" s="18" t="n">
        <x:v>2020</x:v>
      </x:c>
      <x:c r="E23" s="18" t="n">
        <x:v>1.44</x:v>
      </x:c>
      <x:c r="F23" s="18" t="str">
        <x:v>CALCULATION</x:v>
      </x:c>
      <x:c r="G23" s="18" t="str">
        <x:v>S1</x:v>
      </x:c>
      <x:c r="H23" s="18" t="str">
        <x:v>high</x:v>
      </x:c>
      <x:c r="I23" s="18" t="str">
        <x:v>private children / children total</x:v>
      </x:c>
    </x:row>
    <x:row r="24">
      <x:c r="A24" s="18" t="str">
        <x:v>preschool</x:v>
      </x:c>
      <x:c r="B24" s="18" t="str">
        <x:v>private_share_of_enrolled</x:v>
      </x:c>
      <x:c r="C24" s="18" t="str">
        <x:v>percent</x:v>
      </x:c>
      <x:c r="D24" s="18" t="n">
        <x:v>2021</x:v>
      </x:c>
      <x:c r="E24" s="18" t="n">
        <x:v>1.55</x:v>
      </x:c>
      <x:c r="F24" s="18" t="str">
        <x:v>CALCULATION</x:v>
      </x:c>
      <x:c r="G24" s="18" t="str">
        <x:v>S1</x:v>
      </x:c>
      <x:c r="H24" s="18" t="str">
        <x:v>high</x:v>
      </x:c>
      <x:c r="I24" s="18" t="str">
        <x:v>private children / children total</x:v>
      </x:c>
    </x:row>
    <x:row r="25">
      <x:c r="A25" s="18" t="str">
        <x:v>preschool</x:v>
      </x:c>
      <x:c r="B25" s="18" t="str">
        <x:v>private_share_of_enrolled</x:v>
      </x:c>
      <x:c r="C25" s="18" t="str">
        <x:v>percent</x:v>
      </x:c>
      <x:c r="D25" s="18" t="n">
        <x:v>2022</x:v>
      </x:c>
      <x:c r="E25" s="18" t="n">
        <x:v>1.57</x:v>
      </x:c>
      <x:c r="F25" s="18" t="str">
        <x:v>CALCULATION</x:v>
      </x:c>
      <x:c r="G25" s="18" t="str">
        <x:v>S1</x:v>
      </x:c>
      <x:c r="H25" s="18" t="str">
        <x:v>high</x:v>
      </x:c>
      <x:c r="I25" s="18" t="str">
        <x:v>private children / children total</x:v>
      </x:c>
    </x:row>
    <x:row r="26">
      <x:c r="A26" s="18" t="str">
        <x:v>preschool</x:v>
      </x:c>
      <x:c r="B26" s="18" t="str">
        <x:v>private_share_of_enrolled</x:v>
      </x:c>
      <x:c r="C26" s="18" t="str">
        <x:v>percent</x:v>
      </x:c>
      <x:c r="D26" s="18" t="n">
        <x:v>2023</x:v>
      </x:c>
      <x:c r="E26" s="18" t="n">
        <x:v>1.58</x:v>
      </x:c>
      <x:c r="F26" s="18" t="str">
        <x:v>CALCULATION</x:v>
      </x:c>
      <x:c r="G26" s="18" t="str">
        <x:v>S1</x:v>
      </x:c>
      <x:c r="H26" s="18" t="str">
        <x:v>high</x:v>
      </x:c>
      <x:c r="I26" s="18" t="str">
        <x:v>private children / children total</x:v>
      </x:c>
    </x:row>
    <x:row r="27">
      <x:c r="A27" s="18" t="str">
        <x:v>preschool</x:v>
      </x:c>
      <x:c r="B27" s="18" t="str">
        <x:v>private_share_of_enrolled</x:v>
      </x:c>
      <x:c r="C27" s="18" t="str">
        <x:v>percent</x:v>
      </x:c>
      <x:c r="D27" s="18" t="n">
        <x:v>2024</x:v>
      </x:c>
      <x:c r="E27" s="18" t="n">
        <x:v>1.64</x:v>
      </x:c>
      <x:c r="F27" s="18" t="str">
        <x:v>CALCULATION</x:v>
      </x:c>
      <x:c r="G27" s="18" t="str">
        <x:v>S1</x:v>
      </x:c>
      <x:c r="H27" s="18" t="str">
        <x:v>high</x:v>
      </x:c>
      <x:c r="I27" s="18" t="str">
        <x:v>private children / children total</x:v>
      </x:c>
    </x:row>
    <x:row r="28">
      <x:c r="A28" s="18" t="str">
        <x:v>private_school</x:v>
      </x:c>
      <x:c r="B28" s="18" t="str">
        <x:v>students_private</x:v>
      </x:c>
      <x:c r="C28" s="18" t="str">
        <x:v>thousand</x:v>
      </x:c>
      <x:c r="D28" s="18" t="n">
        <x:v>2021</x:v>
      </x:c>
      <x:c r="E28" s="18" t="n">
        <x:v>157.5</x:v>
      </x:c>
      <x:c r="F28" s="25" t="str">
        <x:v>FACT</x:v>
      </x:c>
      <x:c r="G28" s="18" t="str">
        <x:v>S1</x:v>
      </x:c>
      <x:c r="H28" s="18" t="str">
        <x:v>high</x:v>
      </x:c>
      <x:c r="I28" s="18" t="str">
        <x:v>academic year 2021/22</x:v>
      </x:c>
    </x:row>
    <x:row r="29">
      <x:c r="A29" s="18" t="str">
        <x:v>private_school</x:v>
      </x:c>
      <x:c r="B29" s="18" t="str">
        <x:v>students_private</x:v>
      </x:c>
      <x:c r="C29" s="18" t="str">
        <x:v>thousand</x:v>
      </x:c>
      <x:c r="D29" s="18" t="n">
        <x:v>2022</x:v>
      </x:c>
      <x:c r="E29" s="18" t="n">
        <x:v>178</x:v>
      </x:c>
      <x:c r="F29" s="25" t="str">
        <x:v>FACT</x:v>
      </x:c>
      <x:c r="G29" s="18" t="str">
        <x:v>S1</x:v>
      </x:c>
      <x:c r="H29" s="18" t="str">
        <x:v>high</x:v>
      </x:c>
      <x:c r="I29" s="18" t="str">
        <x:v>academic year 2022/23</x:v>
      </x:c>
    </x:row>
    <x:row r="30">
      <x:c r="A30" s="18" t="str">
        <x:v>private_school</x:v>
      </x:c>
      <x:c r="B30" s="18" t="str">
        <x:v>students_private</x:v>
      </x:c>
      <x:c r="C30" s="18" t="str">
        <x:v>thousand</x:v>
      </x:c>
      <x:c r="D30" s="18" t="n">
        <x:v>2023</x:v>
      </x:c>
      <x:c r="E30" s="18" t="n">
        <x:v>206</x:v>
      </x:c>
      <x:c r="F30" s="25" t="str">
        <x:v>FACT</x:v>
      </x:c>
      <x:c r="G30" s="18" t="str">
        <x:v>S1</x:v>
      </x:c>
      <x:c r="H30" s="18" t="str">
        <x:v>high</x:v>
      </x:c>
      <x:c r="I30" s="18" t="str">
        <x:v>academic year 2023/24</x:v>
      </x:c>
    </x:row>
    <x:row r="31">
      <x:c r="A31" s="18" t="str">
        <x:v>private_school</x:v>
      </x:c>
      <x:c r="B31" s="18" t="str">
        <x:v>students_private</x:v>
      </x:c>
      <x:c r="C31" s="18" t="str">
        <x:v>thousand</x:v>
      </x:c>
      <x:c r="D31" s="18" t="n">
        <x:v>2024</x:v>
      </x:c>
      <x:c r="E31" s="18" t="n">
        <x:v>234</x:v>
      </x:c>
      <x:c r="F31" s="25" t="str">
        <x:v>FACT</x:v>
      </x:c>
      <x:c r="G31" s="18" t="str">
        <x:v>S1</x:v>
      </x:c>
      <x:c r="H31" s="18" t="str">
        <x:v>high</x:v>
      </x:c>
      <x:c r="I31" s="18" t="str">
        <x:v>academic year 2024/25</x:v>
      </x:c>
    </x:row>
    <x:row r="32">
      <x:c r="A32" s="18" t="str">
        <x:v>private_school</x:v>
      </x:c>
      <x:c r="B32" s="18" t="str">
        <x:v>private_student_share</x:v>
      </x:c>
      <x:c r="C32" s="18" t="str">
        <x:v>percent</x:v>
      </x:c>
      <x:c r="D32" s="18" t="n">
        <x:v>2021</x:v>
      </x:c>
      <x:c r="E32" s="18" t="n">
        <x:v>0.91</x:v>
      </x:c>
      <x:c r="F32" s="18" t="str">
        <x:v>CALCULATION</x:v>
      </x:c>
      <x:c r="G32" s="18" t="str">
        <x:v>S1</x:v>
      </x:c>
      <x:c r="H32" s="18" t="str">
        <x:v>high</x:v>
      </x:c>
      <x:c r="I32" s="18" t="str">
        <x:v>academic year 2021/22</x:v>
      </x:c>
    </x:row>
    <x:row r="33">
      <x:c r="A33" s="18" t="str">
        <x:v>private_school</x:v>
      </x:c>
      <x:c r="B33" s="18" t="str">
        <x:v>private_student_share</x:v>
      </x:c>
      <x:c r="C33" s="18" t="str">
        <x:v>percent</x:v>
      </x:c>
      <x:c r="D33" s="18" t="n">
        <x:v>2022</x:v>
      </x:c>
      <x:c r="E33" s="18" t="n">
        <x:v>1.003</x:v>
      </x:c>
      <x:c r="F33" s="18" t="str">
        <x:v>CALCULATION</x:v>
      </x:c>
      <x:c r="G33" s="18" t="str">
        <x:v>S1</x:v>
      </x:c>
      <x:c r="H33" s="18" t="str">
        <x:v>high</x:v>
      </x:c>
      <x:c r="I33" s="18" t="str">
        <x:v>academic year 2022/23</x:v>
      </x:c>
    </x:row>
    <x:row r="34">
      <x:c r="A34" s="18" t="str">
        <x:v>private_school</x:v>
      </x:c>
      <x:c r="B34" s="18" t="str">
        <x:v>private_student_share</x:v>
      </x:c>
      <x:c r="C34" s="18" t="str">
        <x:v>percent</x:v>
      </x:c>
      <x:c r="D34" s="18" t="n">
        <x:v>2023</x:v>
      </x:c>
      <x:c r="E34" s="18" t="n">
        <x:v>1.145</x:v>
      </x:c>
      <x:c r="F34" s="18" t="str">
        <x:v>CALCULATION</x:v>
      </x:c>
      <x:c r="G34" s="18" t="str">
        <x:v>S1</x:v>
      </x:c>
      <x:c r="H34" s="18" t="str">
        <x:v>high</x:v>
      </x:c>
      <x:c r="I34" s="18" t="str">
        <x:v>academic year 2023/24</x:v>
      </x:c>
    </x:row>
    <x:row r="35">
      <x:c r="A35" s="18" t="str">
        <x:v>private_school</x:v>
      </x:c>
      <x:c r="B35" s="18" t="str">
        <x:v>private_student_share</x:v>
      </x:c>
      <x:c r="C35" s="18" t="str">
        <x:v>percent</x:v>
      </x:c>
      <x:c r="D35" s="18" t="n">
        <x:v>2024</x:v>
      </x:c>
      <x:c r="E35" s="18" t="n">
        <x:v>1.301</x:v>
      </x:c>
      <x:c r="F35" s="18" t="str">
        <x:v>CALCULATION</x:v>
      </x:c>
      <x:c r="G35" s="18" t="str">
        <x:v>S1</x:v>
      </x:c>
      <x:c r="H35" s="18" t="str">
        <x:v>high</x:v>
      </x:c>
      <x:c r="I35" s="18" t="str">
        <x:v>academic year 2024/25</x:v>
      </x:c>
    </x:row>
    <x:row r="36">
      <x:c r="A36" s="18" t="str">
        <x:v>additional_education</x:v>
      </x:c>
      <x:c r="B36" s="18" t="str">
        <x:v>program_participations_total</x:v>
      </x:c>
      <x:c r="C36" s="18" t="str">
        <x:v>thousand</x:v>
      </x:c>
      <x:c r="D36" s="18" t="n">
        <x:v>2019</x:v>
      </x:c>
      <x:c r="E36" s="18" t="n">
        <x:v>26714.3</x:v>
      </x:c>
      <x:c r="F36" s="18" t="str">
        <x:v>CALCULATION</x:v>
      </x:c>
      <x:c r="G36" s="18" t="str">
        <x:v>S1</x:v>
      </x:c>
      <x:c r="H36" s="18" t="str">
        <x:v>medium</x:v>
      </x:c>
      <x:c r="I36" s="18" t="str">
        <x:v>registrations, not unique children</x:v>
      </x:c>
    </x:row>
    <x:row r="37">
      <x:c r="A37" s="18" t="str">
        <x:v>additional_education</x:v>
      </x:c>
      <x:c r="B37" s="18" t="str">
        <x:v>program_participations_total</x:v>
      </x:c>
      <x:c r="C37" s="18" t="str">
        <x:v>thousand</x:v>
      </x:c>
      <x:c r="D37" s="18" t="n">
        <x:v>2020</x:v>
      </x:c>
      <x:c r="E37" s="18" t="n">
        <x:v>25968.9</x:v>
      </x:c>
      <x:c r="F37" s="18" t="str">
        <x:v>CALCULATION</x:v>
      </x:c>
      <x:c r="G37" s="18" t="str">
        <x:v>S1</x:v>
      </x:c>
      <x:c r="H37" s="18" t="str">
        <x:v>medium</x:v>
      </x:c>
      <x:c r="I37" s="18" t="str">
        <x:v>registrations, not unique children</x:v>
      </x:c>
    </x:row>
    <x:row r="38">
      <x:c r="A38" s="18" t="str">
        <x:v>additional_education</x:v>
      </x:c>
      <x:c r="B38" s="18" t="str">
        <x:v>program_participations_total</x:v>
      </x:c>
      <x:c r="C38" s="18" t="str">
        <x:v>thousand</x:v>
      </x:c>
      <x:c r="D38" s="18" t="n">
        <x:v>2021</x:v>
      </x:c>
      <x:c r="E38" s="18" t="n">
        <x:v>28030</x:v>
      </x:c>
      <x:c r="F38" s="18" t="str">
        <x:v>CALCULATION</x:v>
      </x:c>
      <x:c r="G38" s="18" t="str">
        <x:v>S1</x:v>
      </x:c>
      <x:c r="H38" s="18" t="str">
        <x:v>medium</x:v>
      </x:c>
      <x:c r="I38" s="18" t="str">
        <x:v>registrations, not unique children</x:v>
      </x:c>
    </x:row>
    <x:row r="39">
      <x:c r="A39" s="18" t="str">
        <x:v>additional_education</x:v>
      </x:c>
      <x:c r="B39" s="18" t="str">
        <x:v>program_participations_total</x:v>
      </x:c>
      <x:c r="C39" s="18" t="str">
        <x:v>thousand</x:v>
      </x:c>
      <x:c r="D39" s="18" t="n">
        <x:v>2022</x:v>
      </x:c>
      <x:c r="E39" s="18" t="n">
        <x:v>30097.1</x:v>
      </x:c>
      <x:c r="F39" s="18" t="str">
        <x:v>CALCULATION</x:v>
      </x:c>
      <x:c r="G39" s="18" t="str">
        <x:v>S1</x:v>
      </x:c>
      <x:c r="H39" s="18" t="str">
        <x:v>medium</x:v>
      </x:c>
      <x:c r="I39" s="18" t="str">
        <x:v>registrations, not unique children</x:v>
      </x:c>
    </x:row>
    <x:row r="40">
      <x:c r="A40" s="18" t="str">
        <x:v>additional_education</x:v>
      </x:c>
      <x:c r="B40" s="18" t="str">
        <x:v>program_participations_total</x:v>
      </x:c>
      <x:c r="C40" s="18" t="str">
        <x:v>thousand</x:v>
      </x:c>
      <x:c r="D40" s="18" t="n">
        <x:v>2023</x:v>
      </x:c>
      <x:c r="E40" s="18" t="n">
        <x:v>33110.9</x:v>
      </x:c>
      <x:c r="F40" s="18" t="str">
        <x:v>CALCULATION</x:v>
      </x:c>
      <x:c r="G40" s="18" t="str">
        <x:v>S1</x:v>
      </x:c>
      <x:c r="H40" s="18" t="str">
        <x:v>medium</x:v>
      </x:c>
      <x:c r="I40" s="18" t="str">
        <x:v>registrations; sports series break</x:v>
      </x:c>
    </x:row>
    <x:row r="41">
      <x:c r="A41" s="18" t="str">
        <x:v>additional_education</x:v>
      </x:c>
      <x:c r="B41" s="18" t="str">
        <x:v>program_participations_total</x:v>
      </x:c>
      <x:c r="C41" s="18" t="str">
        <x:v>thousand</x:v>
      </x:c>
      <x:c r="D41" s="18" t="n">
        <x:v>2024</x:v>
      </x:c>
      <x:c r="E41" s="18" t="n">
        <x:v>34967.1</x:v>
      </x:c>
      <x:c r="F41" s="18" t="str">
        <x:v>CALCULATION</x:v>
      </x:c>
      <x:c r="G41" s="18" t="str">
        <x:v>S1</x:v>
      </x:c>
      <x:c r="H41" s="18" t="str">
        <x:v>medium</x:v>
      </x:c>
      <x:c r="I41" s="18" t="str">
        <x:v>registrations; sports series break</x:v>
      </x:c>
    </x:row>
    <x:row r="42">
      <x:c r="A42" s="18" t="str">
        <x:v>paid_education_all_levels</x:v>
      </x:c>
      <x:c r="B42" s="18" t="str">
        <x:v>household_paid_services</x:v>
      </x:c>
      <x:c r="C42" s="18" t="str">
        <x:v>billion_RUB_nominal</x:v>
      </x:c>
      <x:c r="D42" s="18" t="n">
        <x:v>2020</x:v>
      </x:c>
      <x:c r="E42" s="18" t="n">
        <x:v>655.972</x:v>
      </x:c>
      <x:c r="F42" s="25" t="str">
        <x:v>FACT</x:v>
      </x:c>
      <x:c r="G42" s="18" t="str">
        <x:v>S1_S3</x:v>
      </x:c>
      <x:c r="H42" s="18" t="str">
        <x:v>high</x:v>
      </x:c>
      <x:c r="I42" s="18" t="str">
        <x:v>includes higher and vocational education</x:v>
      </x:c>
    </x:row>
    <x:row r="43">
      <x:c r="A43" s="18" t="str">
        <x:v>paid_education_all_levels</x:v>
      </x:c>
      <x:c r="B43" s="18" t="str">
        <x:v>household_paid_services</x:v>
      </x:c>
      <x:c r="C43" s="18" t="str">
        <x:v>billion_RUB_nominal</x:v>
      </x:c>
      <x:c r="D43" s="18" t="n">
        <x:v>2021</x:v>
      </x:c>
      <x:c r="E43" s="18" t="n">
        <x:v>792.75</x:v>
      </x:c>
      <x:c r="F43" s="25" t="str">
        <x:v>FACT</x:v>
      </x:c>
      <x:c r="G43" s="18" t="str">
        <x:v>S1_S3</x:v>
      </x:c>
      <x:c r="H43" s="18" t="str">
        <x:v>high</x:v>
      </x:c>
      <x:c r="I43" s="18" t="str">
        <x:v>includes higher and vocational education</x:v>
      </x:c>
    </x:row>
    <x:row r="44">
      <x:c r="A44" s="18" t="str">
        <x:v>paid_education_all_levels</x:v>
      </x:c>
      <x:c r="B44" s="18" t="str">
        <x:v>household_paid_services</x:v>
      </x:c>
      <x:c r="C44" s="18" t="str">
        <x:v>billion_RUB_nominal</x:v>
      </x:c>
      <x:c r="D44" s="18" t="n">
        <x:v>2022</x:v>
      </x:c>
      <x:c r="E44" s="18" t="n">
        <x:v>883.954</x:v>
      </x:c>
      <x:c r="F44" s="25" t="str">
        <x:v>FACT</x:v>
      </x:c>
      <x:c r="G44" s="18" t="str">
        <x:v>S1_S3</x:v>
      </x:c>
      <x:c r="H44" s="18" t="str">
        <x:v>high</x:v>
      </x:c>
      <x:c r="I44" s="18" t="str">
        <x:v>includes higher and vocational education</x:v>
      </x:c>
    </x:row>
    <x:row r="45">
      <x:c r="A45" s="18" t="str">
        <x:v>paid_education_all_levels</x:v>
      </x:c>
      <x:c r="B45" s="18" t="str">
        <x:v>household_paid_services</x:v>
      </x:c>
      <x:c r="C45" s="18" t="str">
        <x:v>billion_RUB_nominal</x:v>
      </x:c>
      <x:c r="D45" s="18" t="n">
        <x:v>2023</x:v>
      </x:c>
      <x:c r="E45" s="18" t="n">
        <x:v>1011.063</x:v>
      </x:c>
      <x:c r="F45" s="25" t="str">
        <x:v>FACT</x:v>
      </x:c>
      <x:c r="G45" s="18" t="str">
        <x:v>S1_S3</x:v>
      </x:c>
      <x:c r="H45" s="18" t="str">
        <x:v>high</x:v>
      </x:c>
      <x:c r="I45" s="18" t="str">
        <x:v>includes higher and vocational education</x:v>
      </x:c>
    </x:row>
    <x:row r="46">
      <x:c r="A46" s="18" t="str">
        <x:v>paid_education_all_levels</x:v>
      </x:c>
      <x:c r="B46" s="18" t="str">
        <x:v>household_paid_services</x:v>
      </x:c>
      <x:c r="C46" s="18" t="str">
        <x:v>billion_RUB_nominal</x:v>
      </x:c>
      <x:c r="D46" s="18" t="n">
        <x:v>2024</x:v>
      </x:c>
      <x:c r="E46" s="18" t="n">
        <x:v>1135.584</x:v>
      </x:c>
      <x:c r="F46" s="25" t="str">
        <x:v>FACT</x:v>
      </x:c>
      <x:c r="G46" s="18" t="str">
        <x:v>S1_S3</x:v>
      </x:c>
      <x:c r="H46" s="18" t="str">
        <x:v>high</x:v>
      </x:c>
      <x:c r="I46" s="18" t="str">
        <x:v>includes higher and vocational education</x:v>
      </x:c>
    </x:row>
    <x:row r="47">
      <x:c r="A47" s="18" t="str">
        <x:v>paid_education_all_levels</x:v>
      </x:c>
      <x:c r="B47" s="18" t="str">
        <x:v>household_paid_services</x:v>
      </x:c>
      <x:c r="C47" s="18" t="str">
        <x:v>billion_RUB_nominal</x:v>
      </x:c>
      <x:c r="D47" s="18" t="n">
        <x:v>2025</x:v>
      </x:c>
      <x:c r="E47" s="18" t="n">
        <x:v>1286.5</x:v>
      </x:c>
      <x:c r="F47" s="25" t="str">
        <x:v>FACT</x:v>
      </x:c>
      <x:c r="G47" s="18" t="str">
        <x:v>S1_S3</x:v>
      </x:c>
      <x:c r="H47" s="18" t="str">
        <x:v>high</x:v>
      </x:c>
      <x:c r="I47" s="18" t="str">
        <x:v>nominal +13.3%; physical volume +2.9%</x:v>
      </x:c>
    </x:row>
    <x:row r="48">
      <x:c r="A48" s="18" t="str">
        <x:v>births</x:v>
      </x:c>
      <x:c r="B48" s="18" t="str">
        <x:v>live_births</x:v>
      </x:c>
      <x:c r="C48" s="18" t="str">
        <x:v>thousand</x:v>
      </x:c>
      <x:c r="D48" s="18" t="n">
        <x:v>2019</x:v>
      </x:c>
      <x:c r="E48" s="18" t="n">
        <x:v>1481.074</x:v>
      </x:c>
      <x:c r="F48" s="25" t="str">
        <x:v>FACT</x:v>
      </x:c>
      <x:c r="G48" s="18" t="str">
        <x:v>S4</x:v>
      </x:c>
      <x:c r="H48" s="18" t="str">
        <x:v>high</x:v>
      </x:c>
      <x:c r="I48" s="18" t="str">
        <x:v>vital registration</x:v>
      </x:c>
    </x:row>
    <x:row r="49">
      <x:c r="A49" s="18" t="str">
        <x:v>births</x:v>
      </x:c>
      <x:c r="B49" s="18" t="str">
        <x:v>live_births</x:v>
      </x:c>
      <x:c r="C49" s="18" t="str">
        <x:v>thousand</x:v>
      </x:c>
      <x:c r="D49" s="18" t="n">
        <x:v>2020</x:v>
      </x:c>
      <x:c r="E49" s="18" t="n">
        <x:v>1436.514</x:v>
      </x:c>
      <x:c r="F49" s="25" t="str">
        <x:v>FACT</x:v>
      </x:c>
      <x:c r="G49" s="18" t="str">
        <x:v>S4</x:v>
      </x:c>
      <x:c r="H49" s="18" t="str">
        <x:v>high</x:v>
      </x:c>
      <x:c r="I49" s="18" t="str">
        <x:v>vital registration</x:v>
      </x:c>
    </x:row>
    <x:row r="50">
      <x:c r="A50" s="18" t="str">
        <x:v>births</x:v>
      </x:c>
      <x:c r="B50" s="18" t="str">
        <x:v>live_births</x:v>
      </x:c>
      <x:c r="C50" s="18" t="str">
        <x:v>thousand</x:v>
      </x:c>
      <x:c r="D50" s="18" t="n">
        <x:v>2021</x:v>
      </x:c>
      <x:c r="E50" s="18" t="n">
        <x:v>1398.253</x:v>
      </x:c>
      <x:c r="F50" s="25" t="str">
        <x:v>FACT</x:v>
      </x:c>
      <x:c r="G50" s="18" t="str">
        <x:v>S4</x:v>
      </x:c>
      <x:c r="H50" s="18" t="str">
        <x:v>high</x:v>
      </x:c>
      <x:c r="I50" s="18" t="str">
        <x:v>vital registration</x:v>
      </x:c>
    </x:row>
    <x:row r="51">
      <x:c r="A51" s="18" t="str">
        <x:v>births</x:v>
      </x:c>
      <x:c r="B51" s="18" t="str">
        <x:v>live_births</x:v>
      </x:c>
      <x:c r="C51" s="18" t="str">
        <x:v>thousand</x:v>
      </x:c>
      <x:c r="D51" s="18" t="n">
        <x:v>2022</x:v>
      </x:c>
      <x:c r="E51" s="18" t="n">
        <x:v>1304.087</x:v>
      </x:c>
      <x:c r="F51" s="25" t="str">
        <x:v>FACT</x:v>
      </x:c>
      <x:c r="G51" s="18" t="str">
        <x:v>S4</x:v>
      </x:c>
      <x:c r="H51" s="18" t="str">
        <x:v>high</x:v>
      </x:c>
      <x:c r="I51" s="18" t="str">
        <x:v>vital registration</x:v>
      </x:c>
    </x:row>
    <x:row r="52">
      <x:c r="A52" s="18" t="str">
        <x:v>births</x:v>
      </x:c>
      <x:c r="B52" s="18" t="str">
        <x:v>live_births</x:v>
      </x:c>
      <x:c r="C52" s="18" t="str">
        <x:v>thousand</x:v>
      </x:c>
      <x:c r="D52" s="18" t="n">
        <x:v>2023</x:v>
      </x:c>
      <x:c r="E52" s="18" t="n">
        <x:v>1264.938</x:v>
      </x:c>
      <x:c r="F52" s="25" t="str">
        <x:v>FACT</x:v>
      </x:c>
      <x:c r="G52" s="18" t="str">
        <x:v>S4</x:v>
      </x:c>
      <x:c r="H52" s="18" t="str">
        <x:v>high</x:v>
      </x:c>
      <x:c r="I52" s="18" t="str">
        <x:v>vital registration</x:v>
      </x:c>
    </x:row>
    <x:row r="53">
      <x:c r="A53" s="18" t="str">
        <x:v>births</x:v>
      </x:c>
      <x:c r="B53" s="18" t="str">
        <x:v>live_births</x:v>
      </x:c>
      <x:c r="C53" s="18" t="str">
        <x:v>thousand</x:v>
      </x:c>
      <x:c r="D53" s="18" t="n">
        <x:v>2024</x:v>
      </x:c>
      <x:c r="E53" s="18" t="n">
        <x:v>1222.408</x:v>
      </x:c>
      <x:c r="F53" s="25" t="str">
        <x:v>FACT</x:v>
      </x:c>
      <x:c r="G53" s="18" t="str">
        <x:v>S4b</x:v>
      </x:c>
      <x:c r="H53" s="18" t="str">
        <x:v>high</x:v>
      </x:c>
      <x:c r="I53" s="18" t="str">
        <x:v>vital registration</x:v>
      </x:c>
    </x:row>
    <x:row r="56" ht="22" customHeight="1">
      <x:c r="A56" s="41" t="str">
        <x:v>Сценарии России, 2027–2030</x:v>
      </x:c>
      <x:c r="B56" s="41" t="str">
        <x:v>Сценарии России, 2027–2030</x:v>
      </x:c>
      <x:c r="C56" s="41" t="str">
        <x:v>Сценарии России, 2027–2030</x:v>
      </x:c>
      <x:c r="D56" s="41" t="str">
        <x:v>Сценарии России, 2027–2030</x:v>
      </x:c>
      <x:c r="E56" s="41" t="str">
        <x:v>Сценарии России, 2027–2030</x:v>
      </x:c>
      <x:c r="F56" s="41" t="str">
        <x:v>Сценарии России, 2027–2030</x:v>
      </x:c>
      <x:c r="G56" s="41" t="str">
        <x:v>Сценарии России, 2027–2030</x:v>
      </x:c>
      <x:c r="H56" s="41" t="str">
        <x:v>Сценарии России, 2027–2030</x:v>
      </x:c>
      <x:c r="I56" s="41" t="str">
        <x:v>Сценарии России, 2027–2030</x:v>
      </x:c>
      <x:c r="J56" s="41" t="str">
        <x:v>Сценарии России, 2027–2030</x:v>
      </x:c>
    </x:row>
    <x:row r="57" ht="30" customHeight="1">
      <x:c r="A57" s="14" t="str">
        <x:v>segment</x:v>
      </x:c>
      <x:c r="B57" s="14" t="str">
        <x:v>scenario</x:v>
      </x:c>
      <x:c r="C57" s="14" t="str">
        <x:v>year</x:v>
      </x:c>
      <x:c r="D57" s="14" t="str">
        <x:v>cohort_factor</x:v>
      </x:c>
      <x:c r="E57" s="14" t="str">
        <x:v>private_share_percent</x:v>
      </x:c>
      <x:c r="F57" s="14" t="str">
        <x:v>participation_or_spend_factor</x:v>
      </x:c>
      <x:c r="G57" s="14" t="str">
        <x:v>real_revenue_index_2024_1</x:v>
      </x:c>
      <x:c r="H57" s="14" t="str">
        <x:v>revenue_bn_2024RUB</x:v>
      </x:c>
      <x:c r="I57" s="14" t="str">
        <x:v>classification</x:v>
      </x:c>
      <x:c r="J57" s="14" t="str">
        <x:v>limitation</x:v>
      </x:c>
    </x:row>
    <x:row r="58">
      <x:c r="A58" s="18" t="str">
        <x:v>preschool</x:v>
      </x:c>
      <x:c r="B58" s="18" t="str">
        <x:v>negative</x:v>
      </x:c>
      <x:c r="C58" s="18" t="n">
        <x:v>2027</x:v>
      </x:c>
      <x:c r="D58" s="18" t="n">
        <x:v>0.8951</x:v>
      </x:c>
      <x:c r="E58" s="18" t="n">
        <x:v>1.55</x:v>
      </x:c>
      <x:c r="F58" s="18" t="n">
        <x:v>0.9703</x:v>
      </x:c>
      <x:c r="G58" s="18" t="n">
        <x:v>0.841</x:v>
      </x:c>
      <x:c r="H58" s="18" t="str">
        <x:v>NA</x:v>
      </x:c>
      <x:c r="I58" s="26" t="str">
        <x:v>HYPOTHESIS</x:v>
      </x:c>
      <x:c r="J58" s="18" t="str">
        <x:v>revenue unavailable; index uses private children and real ARPU</x:v>
      </x:c>
    </x:row>
    <x:row r="59">
      <x:c r="A59" s="18" t="str">
        <x:v>preschool</x:v>
      </x:c>
      <x:c r="B59" s="18" t="str">
        <x:v>negative</x:v>
      </x:c>
      <x:c r="C59" s="18" t="n">
        <x:v>2028</x:v>
      </x:c>
      <x:c r="D59" s="18" t="n">
        <x:v>0.8601</x:v>
      </x:c>
      <x:c r="E59" s="18" t="n">
        <x:v>1.533</x:v>
      </x:c>
      <x:c r="F59" s="18" t="n">
        <x:v>0.9606</x:v>
      </x:c>
      <x:c r="G59" s="18" t="n">
        <x:v>0.792</x:v>
      </x:c>
      <x:c r="H59" s="18" t="str">
        <x:v>NA</x:v>
      </x:c>
      <x:c r="I59" s="26" t="str">
        <x:v>HYPOTHESIS</x:v>
      </x:c>
      <x:c r="J59" s="18" t="str">
        <x:v>revenue unavailable; index uses private children and real ARPU</x:v>
      </x:c>
    </x:row>
    <x:row r="60">
      <x:c r="A60" s="18" t="str">
        <x:v>preschool</x:v>
      </x:c>
      <x:c r="B60" s="18" t="str">
        <x:v>negative</x:v>
      </x:c>
      <x:c r="C60" s="18" t="n">
        <x:v>2029</x:v>
      </x:c>
      <x:c r="D60" s="18" t="n">
        <x:v>0.8252</x:v>
      </x:c>
      <x:c r="E60" s="18" t="n">
        <x:v>1.517</x:v>
      </x:c>
      <x:c r="F60" s="18" t="n">
        <x:v>0.951</x:v>
      </x:c>
      <x:c r="G60" s="18" t="n">
        <x:v>0.744</x:v>
      </x:c>
      <x:c r="H60" s="18" t="str">
        <x:v>NA</x:v>
      </x:c>
      <x:c r="I60" s="26" t="str">
        <x:v>HYPOTHESIS</x:v>
      </x:c>
      <x:c r="J60" s="18" t="str">
        <x:v>revenue unavailable; index uses private children and real ARPU</x:v>
      </x:c>
    </x:row>
    <x:row r="61">
      <x:c r="A61" s="18" t="str">
        <x:v>preschool</x:v>
      </x:c>
      <x:c r="B61" s="18" t="str">
        <x:v>negative</x:v>
      </x:c>
      <x:c r="C61" s="18" t="n">
        <x:v>2030</x:v>
      </x:c>
      <x:c r="D61" s="18" t="n">
        <x:v>0.7902</x:v>
      </x:c>
      <x:c r="E61" s="18" t="n">
        <x:v>1.5</x:v>
      </x:c>
      <x:c r="F61" s="18" t="n">
        <x:v>0.9415</x:v>
      </x:c>
      <x:c r="G61" s="18" t="n">
        <x:v>0.697</x:v>
      </x:c>
      <x:c r="H61" s="18" t="str">
        <x:v>NA</x:v>
      </x:c>
      <x:c r="I61" s="26" t="str">
        <x:v>HYPOTHESIS</x:v>
      </x:c>
      <x:c r="J61" s="18" t="str">
        <x:v>revenue unavailable; index uses private children and real ARPU</x:v>
      </x:c>
    </x:row>
    <x:row r="62">
      <x:c r="A62" s="18" t="str">
        <x:v>preschool</x:v>
      </x:c>
      <x:c r="B62" s="18" t="str">
        <x:v>base</x:v>
      </x:c>
      <x:c r="C62" s="18" t="n">
        <x:v>2027</x:v>
      </x:c>
      <x:c r="D62" s="18" t="n">
        <x:v>0.9114</x:v>
      </x:c>
      <x:c r="E62" s="18" t="n">
        <x:v>1.7</x:v>
      </x:c>
      <x:c r="F62" s="18" t="n">
        <x:v>1</x:v>
      </x:c>
      <x:c r="G62" s="18" t="n">
        <x:v>0.968</x:v>
      </x:c>
      <x:c r="H62" s="18" t="str">
        <x:v>NA</x:v>
      </x:c>
      <x:c r="I62" s="26" t="str">
        <x:v>HYPOTHESIS</x:v>
      </x:c>
      <x:c r="J62" s="18" t="str">
        <x:v>revenue unavailable; index uses private children and real ARPU</x:v>
      </x:c>
    </x:row>
    <x:row r="63">
      <x:c r="A63" s="18" t="str">
        <x:v>preschool</x:v>
      </x:c>
      <x:c r="B63" s="18" t="str">
        <x:v>base</x:v>
      </x:c>
      <x:c r="C63" s="18" t="n">
        <x:v>2028</x:v>
      </x:c>
      <x:c r="D63" s="18" t="n">
        <x:v>0.8819</x:v>
      </x:c>
      <x:c r="E63" s="18" t="n">
        <x:v>1.733</x:v>
      </x:c>
      <x:c r="F63" s="18" t="n">
        <x:v>1</x:v>
      </x:c>
      <x:c r="G63" s="18" t="n">
        <x:v>0.955</x:v>
      </x:c>
      <x:c r="H63" s="18" t="str">
        <x:v>NA</x:v>
      </x:c>
      <x:c r="I63" s="26" t="str">
        <x:v>HYPOTHESIS</x:v>
      </x:c>
      <x:c r="J63" s="18" t="str">
        <x:v>revenue unavailable; index uses private children and real ARPU</x:v>
      </x:c>
    </x:row>
    <x:row r="64">
      <x:c r="A64" s="18" t="str">
        <x:v>preschool</x:v>
      </x:c>
      <x:c r="B64" s="18" t="str">
        <x:v>base</x:v>
      </x:c>
      <x:c r="C64" s="18" t="n">
        <x:v>2029</x:v>
      </x:c>
      <x:c r="D64" s="18" t="n">
        <x:v>0.8524</x:v>
      </x:c>
      <x:c r="E64" s="18" t="n">
        <x:v>1.767</x:v>
      </x:c>
      <x:c r="F64" s="18" t="n">
        <x:v>1</x:v>
      </x:c>
      <x:c r="G64" s="18" t="n">
        <x:v>0.941</x:v>
      </x:c>
      <x:c r="H64" s="18" t="str">
        <x:v>NA</x:v>
      </x:c>
      <x:c r="I64" s="26" t="str">
        <x:v>HYPOTHESIS</x:v>
      </x:c>
      <x:c r="J64" s="18" t="str">
        <x:v>revenue unavailable; index uses private children and real ARPU</x:v>
      </x:c>
    </x:row>
    <x:row r="65">
      <x:c r="A65" s="18" t="str">
        <x:v>preschool</x:v>
      </x:c>
      <x:c r="B65" s="18" t="str">
        <x:v>base</x:v>
      </x:c>
      <x:c r="C65" s="18" t="n">
        <x:v>2030</x:v>
      </x:c>
      <x:c r="D65" s="18" t="n">
        <x:v>0.8229</x:v>
      </x:c>
      <x:c r="E65" s="18" t="n">
        <x:v>1.8</x:v>
      </x:c>
      <x:c r="F65" s="18" t="n">
        <x:v>1</x:v>
      </x:c>
      <x:c r="G65" s="18" t="n">
        <x:v>0.926</x:v>
      </x:c>
      <x:c r="H65" s="18" t="str">
        <x:v>NA</x:v>
      </x:c>
      <x:c r="I65" s="26" t="str">
        <x:v>HYPOTHESIS</x:v>
      </x:c>
      <x:c r="J65" s="18" t="str">
        <x:v>revenue unavailable; index uses private children and real ARPU</x:v>
      </x:c>
    </x:row>
    <x:row r="66">
      <x:c r="A66" s="18" t="str">
        <x:v>preschool</x:v>
      </x:c>
      <x:c r="B66" s="18" t="str">
        <x:v>strong</x:v>
      </x:c>
      <x:c r="C66" s="18" t="n">
        <x:v>2027</x:v>
      </x:c>
      <x:c r="D66" s="18" t="n">
        <x:v>0.9312</x:v>
      </x:c>
      <x:c r="E66" s="18" t="n">
        <x:v>1.9</x:v>
      </x:c>
      <x:c r="F66" s="18" t="n">
        <x:v>1.0303</x:v>
      </x:c>
      <x:c r="G66" s="18" t="n">
        <x:v>1.139</x:v>
      </x:c>
      <x:c r="H66" s="18" t="str">
        <x:v>NA</x:v>
      </x:c>
      <x:c r="I66" s="26" t="str">
        <x:v>HYPOTHESIS</x:v>
      </x:c>
      <x:c r="J66" s="18" t="str">
        <x:v>revenue unavailable; index uses private children and real ARPU</x:v>
      </x:c>
    </x:row>
    <x:row r="67">
      <x:c r="A67" s="18" t="str">
        <x:v>preschool</x:v>
      </x:c>
      <x:c r="B67" s="18" t="str">
        <x:v>strong</x:v>
      </x:c>
      <x:c r="C67" s="18" t="n">
        <x:v>2028</x:v>
      </x:c>
      <x:c r="D67" s="18" t="n">
        <x:v>0.9083</x:v>
      </x:c>
      <x:c r="E67" s="18" t="n">
        <x:v>2</x:v>
      </x:c>
      <x:c r="F67" s="18" t="n">
        <x:v>1.0406</x:v>
      </x:c>
      <x:c r="G67" s="18" t="n">
        <x:v>1.181</x:v>
      </x:c>
      <x:c r="H67" s="18" t="str">
        <x:v>NA</x:v>
      </x:c>
      <x:c r="I67" s="26" t="str">
        <x:v>HYPOTHESIS</x:v>
      </x:c>
      <x:c r="J67" s="18" t="str">
        <x:v>revenue unavailable; index uses private children and real ARPU</x:v>
      </x:c>
    </x:row>
    <x:row r="68">
      <x:c r="A68" s="18" t="str">
        <x:v>preschool</x:v>
      </x:c>
      <x:c r="B68" s="18" t="str">
        <x:v>strong</x:v>
      </x:c>
      <x:c r="C68" s="18" t="n">
        <x:v>2029</x:v>
      </x:c>
      <x:c r="D68" s="18" t="n">
        <x:v>0.8853</x:v>
      </x:c>
      <x:c r="E68" s="18" t="n">
        <x:v>2.1</x:v>
      </x:c>
      <x:c r="F68" s="18" t="n">
        <x:v>1.051</x:v>
      </x:c>
      <x:c r="G68" s="18" t="n">
        <x:v>1.221</x:v>
      </x:c>
      <x:c r="H68" s="18" t="str">
        <x:v>NA</x:v>
      </x:c>
      <x:c r="I68" s="26" t="str">
        <x:v>HYPOTHESIS</x:v>
      </x:c>
      <x:c r="J68" s="18" t="str">
        <x:v>revenue unavailable; index uses private children and real ARPU</x:v>
      </x:c>
    </x:row>
    <x:row r="69">
      <x:c r="A69" s="18" t="str">
        <x:v>preschool</x:v>
      </x:c>
      <x:c r="B69" s="18" t="str">
        <x:v>strong</x:v>
      </x:c>
      <x:c r="C69" s="18" t="n">
        <x:v>2030</x:v>
      </x:c>
      <x:c r="D69" s="18" t="n">
        <x:v>0.8624</x:v>
      </x:c>
      <x:c r="E69" s="18" t="n">
        <x:v>2.2</x:v>
      </x:c>
      <x:c r="F69" s="18" t="n">
        <x:v>1.0615</x:v>
      </x:c>
      <x:c r="G69" s="18" t="n">
        <x:v>1.259</x:v>
      </x:c>
      <x:c r="H69" s="18" t="str">
        <x:v>NA</x:v>
      </x:c>
      <x:c r="I69" s="26" t="str">
        <x:v>HYPOTHESIS</x:v>
      </x:c>
      <x:c r="J69" s="18" t="str">
        <x:v>revenue unavailable; index uses private children and real ARPU</x:v>
      </x:c>
    </x:row>
    <x:row r="70">
      <x:c r="A70" s="18" t="str">
        <x:v>private_school</x:v>
      </x:c>
      <x:c r="B70" s="18" t="str">
        <x:v>negative</x:v>
      </x:c>
      <x:c r="C70" s="18" t="n">
        <x:v>2027</x:v>
      </x:c>
      <x:c r="D70" s="18" t="n">
        <x:v>0.925</x:v>
      </x:c>
      <x:c r="E70" s="18" t="n">
        <x:v>1.275</x:v>
      </x:c>
      <x:c r="F70" s="18" t="n">
        <x:v>0.9703</x:v>
      </x:c>
      <x:c r="G70" s="18" t="n">
        <x:v>0.88</x:v>
      </x:c>
      <x:c r="H70" s="18" t="n">
        <x:v>51.7</x:v>
      </x:c>
      <x:c r="I70" s="26" t="str">
        <x:v>HYPOTHESIS</x:v>
      </x:c>
      <x:c r="J70" s="18" t="str">
        <x:v>household revenue in constant 2024 RUB</x:v>
      </x:c>
    </x:row>
    <x:row r="71">
      <x:c r="A71" s="18" t="str">
        <x:v>private_school</x:v>
      </x:c>
      <x:c r="B71" s="18" t="str">
        <x:v>negative</x:v>
      </x:c>
      <x:c r="C71" s="18" t="n">
        <x:v>2028</x:v>
      </x:c>
      <x:c r="D71" s="18" t="n">
        <x:v>0.9</x:v>
      </x:c>
      <x:c r="E71" s="18" t="n">
        <x:v>1.267</x:v>
      </x:c>
      <x:c r="F71" s="18" t="n">
        <x:v>0.9606</x:v>
      </x:c>
      <x:c r="G71" s="18" t="n">
        <x:v>0.842</x:v>
      </x:c>
      <x:c r="H71" s="18" t="n">
        <x:v>49.4</x:v>
      </x:c>
      <x:c r="I71" s="26" t="str">
        <x:v>HYPOTHESIS</x:v>
      </x:c>
      <x:c r="J71" s="18" t="str">
        <x:v>household revenue in constant 2024 RUB</x:v>
      </x:c>
    </x:row>
    <x:row r="72">
      <x:c r="A72" s="18" t="str">
        <x:v>private_school</x:v>
      </x:c>
      <x:c r="B72" s="18" t="str">
        <x:v>negative</x:v>
      </x:c>
      <x:c r="C72" s="18" t="n">
        <x:v>2029</x:v>
      </x:c>
      <x:c r="D72" s="18" t="n">
        <x:v>0.875</x:v>
      </x:c>
      <x:c r="E72" s="18" t="n">
        <x:v>1.258</x:v>
      </x:c>
      <x:c r="F72" s="18" t="n">
        <x:v>0.951</x:v>
      </x:c>
      <x:c r="G72" s="18" t="n">
        <x:v>0.805</x:v>
      </x:c>
      <x:c r="H72" s="18" t="n">
        <x:v>47.3</x:v>
      </x:c>
      <x:c r="I72" s="26" t="str">
        <x:v>HYPOTHESIS</x:v>
      </x:c>
      <x:c r="J72" s="18" t="str">
        <x:v>household revenue in constant 2024 RUB</x:v>
      </x:c>
    </x:row>
    <x:row r="73">
      <x:c r="A73" s="18" t="str">
        <x:v>private_school</x:v>
      </x:c>
      <x:c r="B73" s="18" t="str">
        <x:v>negative</x:v>
      </x:c>
      <x:c r="C73" s="18" t="n">
        <x:v>2030</x:v>
      </x:c>
      <x:c r="D73" s="18" t="n">
        <x:v>0.85</x:v>
      </x:c>
      <x:c r="E73" s="18" t="n">
        <x:v>1.25</x:v>
      </x:c>
      <x:c r="F73" s="18" t="n">
        <x:v>0.9415</x:v>
      </x:c>
      <x:c r="G73" s="18" t="n">
        <x:v>0.769</x:v>
      </x:c>
      <x:c r="H73" s="18" t="n">
        <x:v>45.2</x:v>
      </x:c>
      <x:c r="I73" s="26" t="str">
        <x:v>HYPOTHESIS</x:v>
      </x:c>
      <x:c r="J73" s="18" t="str">
        <x:v>household revenue in constant 2024 RUB</x:v>
      </x:c>
    </x:row>
    <x:row r="74">
      <x:c r="A74" s="18" t="str">
        <x:v>private_school</x:v>
      </x:c>
      <x:c r="B74" s="18" t="str">
        <x:v>base</x:v>
      </x:c>
      <x:c r="C74" s="18" t="n">
        <x:v>2027</x:v>
      </x:c>
      <x:c r="D74" s="18" t="n">
        <x:v>0.94</x:v>
      </x:c>
      <x:c r="E74" s="18" t="n">
        <x:v>1.475</x:v>
      </x:c>
      <x:c r="F74" s="18" t="n">
        <x:v>1</x:v>
      </x:c>
      <x:c r="G74" s="18" t="n">
        <x:v>1.067</x:v>
      </x:c>
      <x:c r="H74" s="18" t="n">
        <x:v>62.6</x:v>
      </x:c>
      <x:c r="I74" s="26" t="str">
        <x:v>HYPOTHESIS</x:v>
      </x:c>
      <x:c r="J74" s="18" t="str">
        <x:v>household revenue in constant 2024 RUB</x:v>
      </x:c>
    </x:row>
    <x:row r="75">
      <x:c r="A75" s="18" t="str">
        <x:v>private_school</x:v>
      </x:c>
      <x:c r="B75" s="18" t="str">
        <x:v>base</x:v>
      </x:c>
      <x:c r="C75" s="18" t="n">
        <x:v>2028</x:v>
      </x:c>
      <x:c r="D75" s="18" t="n">
        <x:v>0.92</x:v>
      </x:c>
      <x:c r="E75" s="18" t="n">
        <x:v>1.533</x:v>
      </x:c>
      <x:c r="F75" s="18" t="n">
        <x:v>1</x:v>
      </x:c>
      <x:c r="G75" s="18" t="n">
        <x:v>1.085</x:v>
      </x:c>
      <x:c r="H75" s="18" t="n">
        <x:v>63.7</x:v>
      </x:c>
      <x:c r="I75" s="26" t="str">
        <x:v>HYPOTHESIS</x:v>
      </x:c>
      <x:c r="J75" s="18" t="str">
        <x:v>household revenue in constant 2024 RUB</x:v>
      </x:c>
    </x:row>
    <x:row r="76">
      <x:c r="A76" s="18" t="str">
        <x:v>private_school</x:v>
      </x:c>
      <x:c r="B76" s="18" t="str">
        <x:v>base</x:v>
      </x:c>
      <x:c r="C76" s="18" t="n">
        <x:v>2029</x:v>
      </x:c>
      <x:c r="D76" s="18" t="n">
        <x:v>0.9</x:v>
      </x:c>
      <x:c r="E76" s="18" t="n">
        <x:v>1.592</x:v>
      </x:c>
      <x:c r="F76" s="18" t="n">
        <x:v>1</x:v>
      </x:c>
      <x:c r="G76" s="18" t="n">
        <x:v>1.102</x:v>
      </x:c>
      <x:c r="H76" s="18" t="n">
        <x:v>64.7</x:v>
      </x:c>
      <x:c r="I76" s="26" t="str">
        <x:v>HYPOTHESIS</x:v>
      </x:c>
      <x:c r="J76" s="18" t="str">
        <x:v>household revenue in constant 2024 RUB</x:v>
      </x:c>
    </x:row>
    <x:row r="77">
      <x:c r="A77" s="18" t="str">
        <x:v>private_school</x:v>
      </x:c>
      <x:c r="B77" s="18" t="str">
        <x:v>base</x:v>
      </x:c>
      <x:c r="C77" s="18" t="n">
        <x:v>2030</x:v>
      </x:c>
      <x:c r="D77" s="18" t="n">
        <x:v>0.88</x:v>
      </x:c>
      <x:c r="E77" s="18" t="n">
        <x:v>1.65</x:v>
      </x:c>
      <x:c r="F77" s="18" t="n">
        <x:v>1</x:v>
      </x:c>
      <x:c r="G77" s="18" t="n">
        <x:v>1.117</x:v>
      </x:c>
      <x:c r="H77" s="18" t="n">
        <x:v>65.5</x:v>
      </x:c>
      <x:c r="I77" s="26" t="str">
        <x:v>HYPOTHESIS</x:v>
      </x:c>
      <x:c r="J77" s="18" t="str">
        <x:v>household revenue in constant 2024 RUB</x:v>
      </x:c>
    </x:row>
    <x:row r="78">
      <x:c r="A78" s="18" t="str">
        <x:v>private_school</x:v>
      </x:c>
      <x:c r="B78" s="18" t="str">
        <x:v>strong</x:v>
      </x:c>
      <x:c r="C78" s="18" t="n">
        <x:v>2027</x:v>
      </x:c>
      <x:c r="D78" s="18" t="n">
        <x:v>0.955</x:v>
      </x:c>
      <x:c r="E78" s="18" t="n">
        <x:v>1.7</x:v>
      </x:c>
      <x:c r="F78" s="18" t="n">
        <x:v>1.0457</x:v>
      </x:c>
      <x:c r="G78" s="18" t="n">
        <x:v>1.306</x:v>
      </x:c>
      <x:c r="H78" s="18" t="n">
        <x:v>76.6</x:v>
      </x:c>
      <x:c r="I78" s="26" t="str">
        <x:v>HYPOTHESIS</x:v>
      </x:c>
      <x:c r="J78" s="18" t="str">
        <x:v>household revenue in constant 2024 RUB</x:v>
      </x:c>
    </x:row>
    <x:row r="79">
      <x:c r="A79" s="18" t="str">
        <x:v>private_school</x:v>
      </x:c>
      <x:c r="B79" s="18" t="str">
        <x:v>strong</x:v>
      </x:c>
      <x:c r="C79" s="18" t="n">
        <x:v>2028</x:v>
      </x:c>
      <x:c r="D79" s="18" t="n">
        <x:v>0.94</x:v>
      </x:c>
      <x:c r="E79" s="18" t="n">
        <x:v>1.833</x:v>
      </x:c>
      <x:c r="F79" s="18" t="n">
        <x:v>1.0614</x:v>
      </x:c>
      <x:c r="G79" s="18" t="n">
        <x:v>1.407</x:v>
      </x:c>
      <x:c r="H79" s="18" t="n">
        <x:v>82.6</x:v>
      </x:c>
      <x:c r="I79" s="26" t="str">
        <x:v>HYPOTHESIS</x:v>
      </x:c>
      <x:c r="J79" s="18" t="str">
        <x:v>household revenue in constant 2024 RUB</x:v>
      </x:c>
    </x:row>
    <x:row r="80">
      <x:c r="A80" s="18" t="str">
        <x:v>private_school</x:v>
      </x:c>
      <x:c r="B80" s="18" t="str">
        <x:v>strong</x:v>
      </x:c>
      <x:c r="C80" s="18" t="n">
        <x:v>2029</x:v>
      </x:c>
      <x:c r="D80" s="18" t="n">
        <x:v>0.925</x:v>
      </x:c>
      <x:c r="E80" s="18" t="n">
        <x:v>1.967</x:v>
      </x:c>
      <x:c r="F80" s="18" t="n">
        <x:v>1.0774</x:v>
      </x:c>
      <x:c r="G80" s="18" t="n">
        <x:v>1.508</x:v>
      </x:c>
      <x:c r="H80" s="18" t="n">
        <x:v>88.5</x:v>
      </x:c>
      <x:c r="I80" s="26" t="str">
        <x:v>HYPOTHESIS</x:v>
      </x:c>
      <x:c r="J80" s="18" t="str">
        <x:v>household revenue in constant 2024 RUB</x:v>
      </x:c>
    </x:row>
    <x:row r="81">
      <x:c r="A81" s="18" t="str">
        <x:v>private_school</x:v>
      </x:c>
      <x:c r="B81" s="18" t="str">
        <x:v>strong</x:v>
      </x:c>
      <x:c r="C81" s="18" t="n">
        <x:v>2030</x:v>
      </x:c>
      <x:c r="D81" s="18" t="n">
        <x:v>0.91</x:v>
      </x:c>
      <x:c r="E81" s="18" t="n">
        <x:v>2.1</x:v>
      </x:c>
      <x:c r="F81" s="18" t="n">
        <x:v>1.0937</x:v>
      </x:c>
      <x:c r="G81" s="18" t="n">
        <x:v>1.607</x:v>
      </x:c>
      <x:c r="H81" s="18" t="n">
        <x:v>94.3</x:v>
      </x:c>
      <x:c r="I81" s="26" t="str">
        <x:v>HYPOTHESIS</x:v>
      </x:c>
      <x:c r="J81" s="18" t="str">
        <x:v>household revenue in constant 2024 RUB</x:v>
      </x:c>
    </x:row>
    <x:row r="82">
      <x:c r="A82" s="18" t="str">
        <x:v>additional_education</x:v>
      </x:c>
      <x:c r="B82" s="18" t="str">
        <x:v>negative</x:v>
      </x:c>
      <x:c r="C82" s="18" t="n">
        <x:v>2027</x:v>
      </x:c>
      <x:c r="D82" s="18" t="n">
        <x:v>0.925</x:v>
      </x:c>
      <x:c r="E82" s="18" t="str">
        <x:v>NA</x:v>
      </x:c>
      <x:c r="F82" s="18" t="n">
        <x:v>0.9269</x:v>
      </x:c>
      <x:c r="G82" s="18" t="n">
        <x:v>0.857</x:v>
      </x:c>
      <x:c r="H82" s="18" t="n">
        <x:v>35.1</x:v>
      </x:c>
      <x:c r="I82" s="26" t="str">
        <x:v>HYPOTHESIS</x:v>
      </x:c>
      <x:c r="J82" s="18" t="str">
        <x:v>narrow formal market; constant 2024 RUB</x:v>
      </x:c>
    </x:row>
    <x:row r="83">
      <x:c r="A83" s="18" t="str">
        <x:v>additional_education</x:v>
      </x:c>
      <x:c r="B83" s="18" t="str">
        <x:v>negative</x:v>
      </x:c>
      <x:c r="C83" s="18" t="n">
        <x:v>2028</x:v>
      </x:c>
      <x:c r="D83" s="18" t="n">
        <x:v>0.9</x:v>
      </x:c>
      <x:c r="E83" s="18" t="str">
        <x:v>NA</x:v>
      </x:c>
      <x:c r="F83" s="18" t="n">
        <x:v>0.9033</x:v>
      </x:c>
      <x:c r="G83" s="18" t="n">
        <x:v>0.813</x:v>
      </x:c>
      <x:c r="H83" s="18" t="n">
        <x:v>33.3</x:v>
      </x:c>
      <x:c r="I83" s="26" t="str">
        <x:v>HYPOTHESIS</x:v>
      </x:c>
      <x:c r="J83" s="18" t="str">
        <x:v>narrow formal market; constant 2024 RUB</x:v>
      </x:c>
    </x:row>
    <x:row r="84">
      <x:c r="A84" s="18" t="str">
        <x:v>additional_education</x:v>
      </x:c>
      <x:c r="B84" s="18" t="str">
        <x:v>negative</x:v>
      </x:c>
      <x:c r="C84" s="18" t="n">
        <x:v>2029</x:v>
      </x:c>
      <x:c r="D84" s="18" t="n">
        <x:v>0.875</x:v>
      </x:c>
      <x:c r="E84" s="18" t="str">
        <x:v>NA</x:v>
      </x:c>
      <x:c r="F84" s="18" t="n">
        <x:v>0.8795</x:v>
      </x:c>
      <x:c r="G84" s="18" t="n">
        <x:v>0.77</x:v>
      </x:c>
      <x:c r="H84" s="18" t="n">
        <x:v>31.5</x:v>
      </x:c>
      <x:c r="I84" s="26" t="str">
        <x:v>HYPOTHESIS</x:v>
      </x:c>
      <x:c r="J84" s="18" t="str">
        <x:v>narrow formal market; constant 2024 RUB</x:v>
      </x:c>
    </x:row>
    <x:row r="85">
      <x:c r="A85" s="18" t="str">
        <x:v>additional_education</x:v>
      </x:c>
      <x:c r="B85" s="18" t="str">
        <x:v>negative</x:v>
      </x:c>
      <x:c r="C85" s="18" t="n">
        <x:v>2030</x:v>
      </x:c>
      <x:c r="D85" s="18" t="n">
        <x:v>0.85</x:v>
      </x:c>
      <x:c r="E85" s="18" t="str">
        <x:v>NA</x:v>
      </x:c>
      <x:c r="F85" s="18" t="n">
        <x:v>0.8574</x:v>
      </x:c>
      <x:c r="G85" s="18" t="n">
        <x:v>0.729</x:v>
      </x:c>
      <x:c r="H85" s="18" t="n">
        <x:v>29.8</x:v>
      </x:c>
      <x:c r="I85" s="26" t="str">
        <x:v>HYPOTHESIS</x:v>
      </x:c>
      <x:c r="J85" s="18" t="str">
        <x:v>narrow formal market; constant 2024 RUB</x:v>
      </x:c>
    </x:row>
    <x:row r="86">
      <x:c r="A86" s="18" t="str">
        <x:v>additional_education</x:v>
      </x:c>
      <x:c r="B86" s="18" t="str">
        <x:v>base</x:v>
      </x:c>
      <x:c r="C86" s="18" t="n">
        <x:v>2027</x:v>
      </x:c>
      <x:c r="D86" s="18" t="n">
        <x:v>0.94</x:v>
      </x:c>
      <x:c r="E86" s="18" t="str">
        <x:v>NA</x:v>
      </x:c>
      <x:c r="F86" s="18" t="n">
        <x:v>1.1298</x:v>
      </x:c>
      <x:c r="G86" s="18" t="n">
        <x:v>1.062</x:v>
      </x:c>
      <x:c r="H86" s="18" t="n">
        <x:v>43.5</x:v>
      </x:c>
      <x:c r="I86" s="26" t="str">
        <x:v>HYPOTHESIS</x:v>
      </x:c>
      <x:c r="J86" s="18" t="str">
        <x:v>narrow formal market; constant 2024 RUB</x:v>
      </x:c>
    </x:row>
    <x:row r="87">
      <x:c r="A87" s="18" t="str">
        <x:v>additional_education</x:v>
      </x:c>
      <x:c r="B87" s="18" t="str">
        <x:v>base</x:v>
      </x:c>
      <x:c r="C87" s="18" t="n">
        <x:v>2028</x:v>
      </x:c>
      <x:c r="D87" s="18" t="n">
        <x:v>0.92</x:v>
      </x:c>
      <x:c r="E87" s="18" t="str">
        <x:v>NA</x:v>
      </x:c>
      <x:c r="F87" s="18" t="n">
        <x:v>1.1761</x:v>
      </x:c>
      <x:c r="G87" s="18" t="n">
        <x:v>1.082</x:v>
      </x:c>
      <x:c r="H87" s="18" t="n">
        <x:v>44.3</x:v>
      </x:c>
      <x:c r="I87" s="26" t="str">
        <x:v>HYPOTHESIS</x:v>
      </x:c>
      <x:c r="J87" s="18" t="str">
        <x:v>narrow formal market; constant 2024 RUB</x:v>
      </x:c>
    </x:row>
    <x:row r="88">
      <x:c r="A88" s="18" t="str">
        <x:v>additional_education</x:v>
      </x:c>
      <x:c r="B88" s="18" t="str">
        <x:v>base</x:v>
      </x:c>
      <x:c r="C88" s="18" t="n">
        <x:v>2029</x:v>
      </x:c>
      <x:c r="D88" s="18" t="n">
        <x:v>0.9</x:v>
      </x:c>
      <x:c r="E88" s="18" t="str">
        <x:v>NA</x:v>
      </x:c>
      <x:c r="F88" s="18" t="n">
        <x:v>1.2221</x:v>
      </x:c>
      <x:c r="G88" s="18" t="n">
        <x:v>1.1</x:v>
      </x:c>
      <x:c r="H88" s="18" t="n">
        <x:v>45</x:v>
      </x:c>
      <x:c r="I88" s="26" t="str">
        <x:v>HYPOTHESIS</x:v>
      </x:c>
      <x:c r="J88" s="18" t="str">
        <x:v>narrow formal market; constant 2024 RUB</x:v>
      </x:c>
    </x:row>
    <x:row r="89">
      <x:c r="A89" s="18" t="str">
        <x:v>additional_education</x:v>
      </x:c>
      <x:c r="B89" s="18" t="str">
        <x:v>base</x:v>
      </x:c>
      <x:c r="C89" s="18" t="n">
        <x:v>2030</x:v>
      </x:c>
      <x:c r="D89" s="18" t="n">
        <x:v>0.88</x:v>
      </x:c>
      <x:c r="E89" s="18" t="str">
        <x:v>NA</x:v>
      </x:c>
      <x:c r="F89" s="18" t="n">
        <x:v>1.2705</x:v>
      </x:c>
      <x:c r="G89" s="18" t="n">
        <x:v>1.118</x:v>
      </x:c>
      <x:c r="H89" s="18" t="n">
        <x:v>45.8</x:v>
      </x:c>
      <x:c r="I89" s="26" t="str">
        <x:v>HYPOTHESIS</x:v>
      </x:c>
      <x:c r="J89" s="18" t="str">
        <x:v>narrow formal market; constant 2024 RUB</x:v>
      </x:c>
    </x:row>
    <x:row r="90">
      <x:c r="A90" s="18" t="str">
        <x:v>additional_education</x:v>
      </x:c>
      <x:c r="B90" s="18" t="str">
        <x:v>strong</x:v>
      </x:c>
      <x:c r="C90" s="18" t="n">
        <x:v>2027</x:v>
      </x:c>
      <x:c r="D90" s="18" t="n">
        <x:v>0.955</x:v>
      </x:c>
      <x:c r="E90" s="18" t="str">
        <x:v>NA</x:v>
      </x:c>
      <x:c r="F90" s="18" t="n">
        <x:v>1.36</x:v>
      </x:c>
      <x:c r="G90" s="18" t="n">
        <x:v>1.299</x:v>
      </x:c>
      <x:c r="H90" s="18" t="n">
        <x:v>53.2</x:v>
      </x:c>
      <x:c r="I90" s="26" t="str">
        <x:v>HYPOTHESIS</x:v>
      </x:c>
      <x:c r="J90" s="18" t="str">
        <x:v>narrow formal market; constant 2024 RUB</x:v>
      </x:c>
    </x:row>
    <x:row r="91">
      <x:c r="A91" s="18" t="str">
        <x:v>additional_education</x:v>
      </x:c>
      <x:c r="B91" s="18" t="str">
        <x:v>strong</x:v>
      </x:c>
      <x:c r="C91" s="18" t="n">
        <x:v>2028</x:v>
      </x:c>
      <x:c r="D91" s="18" t="n">
        <x:v>0.94</x:v>
      </x:c>
      <x:c r="E91" s="18" t="str">
        <x:v>NA</x:v>
      </x:c>
      <x:c r="F91" s="18" t="n">
        <x:v>1.497</x:v>
      </x:c>
      <x:c r="G91" s="18" t="n">
        <x:v>1.407</x:v>
      </x:c>
      <x:c r="H91" s="18" t="n">
        <x:v>57.6</x:v>
      </x:c>
      <x:c r="I91" s="26" t="str">
        <x:v>HYPOTHESIS</x:v>
      </x:c>
      <x:c r="J91" s="18" t="str">
        <x:v>narrow formal market; constant 2024 RUB</x:v>
      </x:c>
    </x:row>
    <x:row r="92">
      <x:c r="A92" s="18" t="str">
        <x:v>additional_education</x:v>
      </x:c>
      <x:c r="B92" s="18" t="str">
        <x:v>strong</x:v>
      </x:c>
      <x:c r="C92" s="18" t="n">
        <x:v>2029</x:v>
      </x:c>
      <x:c r="D92" s="18" t="n">
        <x:v>0.925</x:v>
      </x:c>
      <x:c r="E92" s="18" t="str">
        <x:v>NA</x:v>
      </x:c>
      <x:c r="F92" s="18" t="n">
        <x:v>1.642</x:v>
      </x:c>
      <x:c r="G92" s="18" t="n">
        <x:v>1.519</x:v>
      </x:c>
      <x:c r="H92" s="18" t="n">
        <x:v>62.2</x:v>
      </x:c>
      <x:c r="I92" s="26" t="str">
        <x:v>HYPOTHESIS</x:v>
      </x:c>
      <x:c r="J92" s="18" t="str">
        <x:v>narrow formal market; constant 2024 RUB</x:v>
      </x:c>
    </x:row>
    <x:row r="93">
      <x:c r="A93" s="18" t="str">
        <x:v>additional_education</x:v>
      </x:c>
      <x:c r="B93" s="18" t="str">
        <x:v>strong</x:v>
      </x:c>
      <x:c r="C93" s="18" t="n">
        <x:v>2030</x:v>
      </x:c>
      <x:c r="D93" s="18" t="n">
        <x:v>0.91</x:v>
      </x:c>
      <x:c r="E93" s="18" t="str">
        <x:v>NA</x:v>
      </x:c>
      <x:c r="F93" s="18" t="n">
        <x:v>1.797</x:v>
      </x:c>
      <x:c r="G93" s="18" t="n">
        <x:v>1.635</x:v>
      </x:c>
      <x:c r="H93" s="18" t="n">
        <x:v>66.9</x:v>
      </x:c>
      <x:c r="I93" s="26" t="str">
        <x:v>HYPOTHESIS</x:v>
      </x:c>
      <x:c r="J93" s="18" t="str">
        <x:v>narrow formal market; constant 2024 RUB</x:v>
      </x:c>
    </x:row>
    <x:row r="96" ht="22" customHeight="1">
      <x:c r="A96" s="41" t="str">
        <x:v>Глобальные сценарии и переносимость</x:v>
      </x:c>
      <x:c r="B96" s="41" t="str">
        <x:v>Глобальные сценарии и переносимость</x:v>
      </x:c>
      <x:c r="C96" s="41" t="str">
        <x:v>Глобальные сценарии и переносимость</x:v>
      </x:c>
      <x:c r="D96" s="41" t="str">
        <x:v>Глобальные сценарии и переносимость</x:v>
      </x:c>
      <x:c r="E96" s="41" t="str">
        <x:v>Глобальные сценарии и переносимость</x:v>
      </x:c>
      <x:c r="F96" s="41" t="str">
        <x:v>Глобальные сценарии и переносимость</x:v>
      </x:c>
      <x:c r="G96" s="41" t="str">
        <x:v>Глобальные сценарии и переносимость</x:v>
      </x:c>
      <x:c r="H96" s="41" t="str">
        <x:v>Глобальные сценарии и переносимость</x:v>
      </x:c>
    </x:row>
    <x:row r="97" ht="30" customHeight="1">
      <x:c r="A97" s="14" t="str">
        <x:v>scenario</x:v>
      </x:c>
      <x:c r="B97" s="14" t="str">
        <x:v>cohort_factor</x:v>
      </x:c>
      <x:c r="C97" s="14" t="str">
        <x:v>paid_participation_factor</x:v>
      </x:c>
      <x:c r="D97" s="14" t="str">
        <x:v>real_arpu_factor</x:v>
      </x:c>
      <x:c r="E97" s="14" t="str">
        <x:v>capacity_productivity_factor</x:v>
      </x:c>
      <x:c r="F97" s="14" t="str">
        <x:v>real_revenue_index_2030</x:v>
      </x:c>
      <x:c r="G97" s="14" t="str">
        <x:v>real_cagr_pct</x:v>
      </x:c>
      <x:c r="H97" s="14" t="str">
        <x:v>status</x:v>
      </x:c>
    </x:row>
    <x:row r="98">
      <x:c r="A98" s="18" t="str">
        <x:v>Негативный</x:v>
      </x:c>
      <x:c r="B98" s="18" t="n">
        <x:v>0.92</x:v>
      </x:c>
      <x:c r="C98" s="18" t="n">
        <x:v>0.95</x:v>
      </x:c>
      <x:c r="D98" s="18" t="n">
        <x:v>0.96</x:v>
      </x:c>
      <x:c r="E98" s="18" t="n">
        <x:v>1</x:v>
      </x:c>
      <x:c r="F98" s="18" t="n">
        <x:v>84</x:v>
      </x:c>
      <x:c r="G98" s="18" t="n">
        <x:v>-3.4</x:v>
      </x:c>
      <x:c r="H98" s="18" t="str">
        <x:v>hypothesis</x:v>
      </x:c>
    </x:row>
    <x:row r="99">
      <x:c r="A99" s="18" t="str">
        <x:v>Базовый</x:v>
      </x:c>
      <x:c r="B99" s="18" t="n">
        <x:v>0.95</x:v>
      </x:c>
      <x:c r="C99" s="18" t="n">
        <x:v>1.04</x:v>
      </x:c>
      <x:c r="D99" s="18" t="n">
        <x:v>1.05</x:v>
      </x:c>
      <x:c r="E99" s="18" t="n">
        <x:v>1.02</x:v>
      </x:c>
      <x:c r="F99" s="18" t="n">
        <x:v>106</x:v>
      </x:c>
      <x:c r="G99" s="18" t="n">
        <x:v>1.1</x:v>
      </x:c>
      <x:c r="H99" s="18" t="str">
        <x:v>hypothesis</x:v>
      </x:c>
    </x:row>
    <x:row r="100">
      <x:c r="A100" s="18" t="str">
        <x:v>Сильный</x:v>
      </x:c>
      <x:c r="B100" s="18" t="n">
        <x:v>0.98</x:v>
      </x:c>
      <x:c r="C100" s="18" t="n">
        <x:v>1.12</x:v>
      </x:c>
      <x:c r="D100" s="18" t="n">
        <x:v>1.12</x:v>
      </x:c>
      <x:c r="E100" s="18" t="n">
        <x:v>1.05</x:v>
      </x:c>
      <x:c r="F100" s="18" t="n">
        <x:v>129</x:v>
      </x:c>
      <x:c r="G100" s="18" t="n">
        <x:v>5.2</x:v>
      </x:c>
      <x:c r="H100" s="18" t="str">
        <x:v>hypothesis</x:v>
      </x:c>
    </x:row>
    <x:row r="102" ht="30" customHeight="1">
      <x:c r="A102" s="14" t="str">
        <x:v>segment</x:v>
      </x:c>
      <x:c r="B102" s="14" t="str">
        <x:v>negative_2030</x:v>
      </x:c>
      <x:c r="C102" s="14" t="str">
        <x:v>base_2030</x:v>
      </x:c>
      <x:c r="D102" s="14" t="str">
        <x:v>strong_2030</x:v>
      </x:c>
      <x:c r="E102" s="14" t="str">
        <x:v>main_driver</x:v>
      </x:c>
      <x:c r="F102" s="14" t="str">
        <x:v>status</x:v>
      </x:c>
    </x:row>
    <x:row r="103">
      <x:c r="A103" s="18" t="str">
        <x:v>Full-day ECEC</x:v>
      </x:c>
      <x:c r="B103" s="18" t="n">
        <x:v>87</x:v>
      </x:c>
      <x:c r="C103" s="18" t="n">
        <x:v>101</x:v>
      </x:c>
      <x:c r="D103" s="18" t="n">
        <x:v>113</x:v>
      </x:c>
      <x:c r="E103" s="18" t="str">
        <x:v>female employment and accessibility vs demographics and payroll</x:v>
      </x:c>
      <x:c r="F103" s="18" t="str">
        <x:v>hypothesis</x:v>
      </x:c>
    </x:row>
    <x:row r="104">
      <x:c r="A104" s="18" t="str">
        <x:v>Mature-market private schools</x:v>
      </x:c>
      <x:c r="B104" s="18" t="n">
        <x:v>85</x:v>
      </x:c>
      <x:c r="C104" s="18" t="n">
        <x:v>99</x:v>
      </x:c>
      <x:c r="D104" s="18" t="n">
        <x:v>112</x:v>
      </x:c>
      <x:c r="E104" s="18" t="str">
        <x:v>cohort tax/regulation scholarships migration</x:v>
      </x:c>
      <x:c r="F104" s="18" t="str">
        <x:v>hypothesis</x:v>
      </x:c>
    </x:row>
    <x:row r="105">
      <x:c r="A105" s="18" t="str">
        <x:v>Urban additional education</x:v>
      </x:c>
      <x:c r="B105" s="18" t="n">
        <x:v>84</x:v>
      </x:c>
      <x:c r="C105" s="18" t="n">
        <x:v>106</x:v>
      </x:c>
      <x:c r="D105" s="18" t="n">
        <x:v>129</x:v>
      </x:c>
      <x:c r="E105" s="18" t="str">
        <x:v>participation retention outcomes utilisation</x:v>
      </x:c>
      <x:c r="F105" s="18" t="str">
        <x:v>hypothesis</x:v>
      </x:c>
    </x:row>
    <x:row r="106">
      <x:c r="A106" s="18" t="str">
        <x:v>Asset-light curriculum/B2B</x:v>
      </x:c>
      <x:c r="B106" s="18" t="n">
        <x:v>90</x:v>
      </x:c>
      <x:c r="C106" s="18" t="n">
        <x:v>118</x:v>
      </x:c>
      <x:c r="D106" s="18" t="n">
        <x:v>150</x:v>
      </x:c>
      <x:c r="E106" s="18" t="str">
        <x:v>partners and recurring licence; low CAPEX high execution risk</x:v>
      </x:c>
      <x:c r="F106" s="18" t="str">
        <x:v>hypothesis</x:v>
      </x:c>
    </x:row>
  </x:sheetData>
  <x:mergeCells>
    <x:mergeCell ref="A1:Q1"/>
    <x:mergeCell ref="A2:Q2"/>
    <x:mergeCell ref="A4:I4"/>
    <x:mergeCell ref="A56:J56"/>
    <x:mergeCell ref="A96:H96"/>
  </x:mergeCells>
  <x:pageMargins left="0.7" right="0.7" top="0.75" bottom="0.75" header="0.3" footer="0.3"/>
  <x:drawing xmlns:r="http://schemas.openxmlformats.org/officeDocument/2006/relationships" r:id="Rda3ab6ddd8504f61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2" hidden="0" customWidth="1"/>
    <x:col min="3" max="3" width="28" hidden="0" customWidth="1"/>
    <x:col min="4" max="4" width="38" hidden="0" customWidth="1"/>
    <x:col min="5" max="5" width="34" hidden="0" customWidth="1"/>
    <x:col min="6" max="6" width="40" hidden="0" customWidth="1"/>
    <x:col min="7" max="7" width="25" hidden="0" customWidth="1"/>
    <x:col min="8" max="8" width="17" hidden="0" customWidth="1"/>
    <x:col min="9" max="9" width="48" hidden="0" customWidth="1"/>
    <x:col min="11" max="11" width="32" hidden="0" customWidth="1"/>
    <x:col min="12" max="12" width="38" hidden="0" customWidth="1"/>
    <x:col min="13" max="13" width="48" hidden="0" customWidth="1"/>
    <x:col min="14" max="14" width="52" hidden="0" customWidth="1"/>
    <x:col min="15" max="15" width="9" hidden="0" customWidth="1"/>
    <x:col min="16" max="16" width="15" hidden="0" customWidth="1"/>
    <x:col min="17" max="17" width="20" hidden="0" customWidth="1"/>
    <x:col min="18" max="18" width="20" hidden="0" customWidth="1"/>
    <x:col min="19" max="19" width="22" hidden="0" customWidth="1"/>
    <x:col min="20" max="20" width="23" hidden="0" customWidth="1"/>
    <x:col min="21" max="21" width="24" hidden="0" customWidth="1"/>
    <x:col min="22" max="22" width="27" hidden="0" customWidth="1"/>
    <x:col min="23" max="23" width="28" hidden="0" customWidth="1"/>
    <x:col min="24" max="24" width="28" hidden="0" customWidth="1"/>
    <x:col min="25" max="25" width="36" hidden="0" customWidth="1"/>
    <x:col min="26" max="26" width="46" hidden="0" customWidth="1"/>
    <x:col min="27" max="27" width="16" hidden="0" customWidth="1"/>
  </x:cols>
  <x:sheetData>
    <x:row r="1" ht="30" customHeight="1">
      <x:c r="A1" s="4" t="str">
        <x:v>ArtHello сегодня — подтверждённое, предварительное и неизвестное</x:v>
      </x:c>
      <x:c r="B1" s="4" t="str">
        <x:v>ArtHello сегодня — подтверждённое, предварительное и неизвестное</x:v>
      </x:c>
      <x:c r="C1" s="4" t="str">
        <x:v>ArtHello сегодня — подтверждённое, предварительное и неизвестное</x:v>
      </x:c>
      <x:c r="D1" s="4" t="str">
        <x:v>ArtHello сегодня — подтверждённое, предварительное и неизвестное</x:v>
      </x:c>
      <x:c r="E1" s="4" t="str">
        <x:v>ArtHello сегодня — подтверждённое, предварительное и неизвестное</x:v>
      </x:c>
      <x:c r="F1" s="4" t="str">
        <x:v>ArtHello сегодня — подтверждённое, предварительное и неизвестное</x:v>
      </x:c>
      <x:c r="G1" s="4" t="str">
        <x:v>ArtHello сегодня — подтверждённое, предварительное и неизвестное</x:v>
      </x:c>
      <x:c r="H1" s="4" t="str">
        <x:v>ArtHello сегодня — подтверждённое, предварительное и неизвестное</x:v>
      </x:c>
      <x:c r="I1" s="4" t="str">
        <x:v>ArtHello сегодня — подтверждённое, предварительное и неизвестное</x:v>
      </x:c>
      <x:c r="J1" s="4" t="str">
        <x:v>ArtHello сегодня — подтверждённое, предварительное и неизвестное</x:v>
      </x:c>
      <x:c r="K1" s="4" t="str">
        <x:v>ArtHello сегодня — подтверждённое, предварительное и неизвестное</x:v>
      </x:c>
      <x:c r="L1" s="4" t="str">
        <x:v>ArtHello сегодня — подтверждённое, предварительное и неизвестное</x:v>
      </x:c>
      <x:c r="M1" s="4" t="str">
        <x:v>ArtHello сегодня — подтверждённое, предварительное и неизвестное</x:v>
      </x:c>
      <x:c r="N1" s="4" t="str">
        <x:v>ArtHello сегодня — подтверждённое, предварительное и неизвестное</x:v>
      </x:c>
      <x:c r="O1" s="4" t="str">
        <x:v>ArtHello сегодня — подтверждённое, предварительное и неизвестное</x:v>
      </x:c>
      <x:c r="P1" s="4" t="str">
        <x:v>ArtHello сегодня — подтверждённое, предварительное и неизвестное</x:v>
      </x:c>
      <x:c r="Q1" s="4" t="str">
        <x:v>ArtHello сегодня — подтверждённое, предварительное и неизвестное</x:v>
      </x:c>
      <x:c r="R1" s="4" t="str">
        <x:v>ArtHello сегодня — подтверждённое, предварительное и неизвестное</x:v>
      </x:c>
      <x:c r="S1" s="4" t="str">
        <x:v>ArtHello сегодня — подтверждённое, предварительное и неизвестное</x:v>
      </x:c>
      <x:c r="T1" s="4" t="str">
        <x:v>ArtHello сегодня — подтверждённое, предварительное и неизвестное</x:v>
      </x:c>
      <x:c r="U1" s="4" t="str">
        <x:v>ArtHello сегодня — подтверждённое, предварительное и неизвестное</x:v>
      </x:c>
      <x:c r="V1" s="4" t="str">
        <x:v>ArtHello сегодня — подтверждённое, предварительное и неизвестное</x:v>
      </x:c>
      <x:c r="W1" s="4" t="str">
        <x:v>ArtHello сегодня — подтверждённое, предварительное и неизвестное</x:v>
      </x:c>
      <x:c r="X1" s="4" t="str">
        <x:v>ArtHello сегодня — подтверждённое, предварительное и неизвестное</x:v>
      </x:c>
      <x:c r="Y1" s="4" t="str">
        <x:v>ArtHello сегодня — подтверждённое, предварительное и неизвестное</x:v>
      </x:c>
      <x:c r="Z1" s="4" t="str">
        <x:v>ArtHello сегодня — подтверждённое, предварительное и неизвестное</x:v>
      </x:c>
      <x:c r="AA1" s="4" t="str">
        <x:v>ArtHello сегодня — подтверждённое, предварительное и неизвестное</x:v>
      </x:c>
    </x:row>
    <x:row r="2" ht="32" customHeight="1">
      <x:c r="A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B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C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D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E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F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G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H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I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J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K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L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M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N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O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P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Q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R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S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T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U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V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W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X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Y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Z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  <x:c r="AA2" s="8" t="str">
        <x:v>Предварительные договорные суммы не являются банковской выручкой. Точная маржа, загрузка, удержание, долг и SOM помечены «НЕ ДОКАЗАНО».</x:v>
      </x:c>
    </x:row>
    <x:row r="4" ht="22" customHeight="1">
      <x:c r="A4" s="41" t="str">
        <x:v>Контрольные цифры</x:v>
      </x:c>
      <x:c r="B4" s="41" t="str">
        <x:v>Контрольные цифры</x:v>
      </x:c>
      <x:c r="C4" s="41" t="str">
        <x:v>Контрольные цифры</x:v>
      </x:c>
      <x:c r="D4" s="41" t="str">
        <x:v>Контрольные цифры</x:v>
      </x:c>
      <x:c r="E4" s="41" t="str">
        <x:v>Контрольные цифры</x:v>
      </x:c>
      <x:c r="F4" s="41" t="str">
        <x:v>Контрольные цифры</x:v>
      </x:c>
      <x:c r="G4" s="41" t="str">
        <x:v>Контрольные цифры</x:v>
      </x:c>
      <x:c r="H4" s="41" t="str">
        <x:v>Контрольные цифры</x:v>
      </x:c>
      <x:c r="K4" s="41" t="str">
        <x:v>Позиционирование по измеримым параметрам</x:v>
      </x:c>
      <x:c r="L4" s="41" t="str">
        <x:v>Позиционирование по измеримым параметрам</x:v>
      </x:c>
      <x:c r="M4" s="41" t="str">
        <x:v>Позиционирование по измеримым параметрам</x:v>
      </x:c>
      <x:c r="N4" s="41" t="str">
        <x:v>Позиционирование по измеримым параметрам</x:v>
      </x:c>
      <x:c r="O4" s="41" t="str">
        <x:v>Позиционирование по измеримым параметрам</x:v>
      </x:c>
    </x:row>
    <x:row r="5" ht="30" customHeight="1">
      <x:c r="A5" s="14" t="str">
        <x:v>Показатель</x:v>
      </x:c>
      <x:c r="B5" s="14" t="str">
        <x:v>Значение</x:v>
      </x:c>
      <x:c r="K5" s="14" t="str">
        <x:v>dimension</x:v>
      </x:c>
      <x:c r="L5" s="14" t="str">
        <x:v>score_1_5</x:v>
      </x:c>
      <x:c r="M5" s="14" t="str">
        <x:v>measurable_basis</x:v>
      </x:c>
      <x:c r="N5" s="14" t="str">
        <x:v>classification</x:v>
      </x:c>
      <x:c r="O5" s="14" t="str">
        <x:v>confidence</x:v>
      </x:c>
    </x:row>
    <x:row r="6">
      <x:c r="A6" s="18" t="str">
        <x:v>Договоры сада + школы</x:v>
      </x:c>
      <x:c r="B6" s="45" t="n">
        <x:f>Assumptions!C28+Assumptions!C29</x:f>
        <x:v>93</x:v>
      </x:c>
      <x:c r="K6" s="18" t="str">
        <x:v>Цена</x:v>
      </x:c>
      <x:c r="L6" s="18" t="n">
        <x:v>4</x:v>
      </x:c>
      <x:c r="M6" s="18" t="str">
        <x:v>Atlas and school sit in middle-upper range; below Mary Jane and premium Aspect sites</x:v>
      </x:c>
      <x:c r="N6" s="18" t="str">
        <x:v>INFERENCE</x:v>
      </x:c>
      <x:c r="O6" s="18" t="str">
        <x:v>medium</x:v>
      </x:c>
    </x:row>
    <x:row r="7">
      <x:c r="A7" s="18" t="str">
        <x:v>Договорная сумма / месяц</x:v>
      </x:c>
      <x:c r="B7" s="46" t="n">
        <x:f>Assumptions!C30+Assumptions!C31</x:f>
        <x:v>5633349</x:v>
      </x:c>
      <x:c r="K7" s="18" t="str">
        <x:v>Возрастной охват</x:v>
      </x:c>
      <x:c r="L7" s="18" t="n">
        <x:v>4</x:v>
      </x:c>
      <x:c r="M7" s="18" t="str">
        <x:v>Preschool, primary, centre, camps; linkage to grades 1–11 requires verification</x:v>
      </x:c>
      <x:c r="N7" s="18" t="str">
        <x:v>FACT+LIMITATION</x:v>
      </x:c>
      <x:c r="O7" s="18" t="str">
        <x:v>medium</x:v>
      </x:c>
    </x:row>
    <x:row r="8">
      <x:c r="A8" s="18" t="str">
        <x:v>Договорный ARPU сада</x:v>
      </x:c>
      <x:c r="B8" s="46" t="n">
        <x:f>Assumptions!C30/Assumptions!C28</x:f>
        <x:v>55079.6875</x:v>
      </x:c>
      <x:c r="K8" s="18" t="str">
        <x:v>Ширина продукта</x:v>
      </x:c>
      <x:c r="L8" s="18" t="n">
        <x:v>5</x:v>
      </x:c>
      <x:c r="M8" s="18" t="str">
        <x:v>Garden, school, centre, clubs, camps, online page</x:v>
      </x:c>
      <x:c r="N8" s="25" t="str">
        <x:v>FACT</x:v>
      </x:c>
      <x:c r="O8" s="18" t="str">
        <x:v>high_for_offer</x:v>
      </x:c>
    </x:row>
    <x:row r="9">
      <x:c r="A9" s="18" t="str">
        <x:v>Договорный ARPU школы</x:v>
      </x:c>
      <x:c r="B9" s="46" t="n">
        <x:f>Assumptions!C31/Assumptions!C29</x:f>
        <x:v>72698.24137931035</x:v>
      </x:c>
      <x:c r="K9" s="18" t="str">
        <x:v>Академичность</x:v>
      </x:c>
      <x:c r="L9" s="18" t="n">
        <x:v>3</x:v>
      </x:c>
      <x:c r="M9" s="18" t="str">
        <x:v>Programs are stated but comparable cohort outcomes are absent</x:v>
      </x:c>
      <x:c r="N9" s="18" t="str">
        <x:v>INFERENCE</x:v>
      </x:c>
      <x:c r="O9" s="18" t="str">
        <x:v>medium-low</x:v>
      </x:c>
    </x:row>
    <x:row r="10">
      <x:c r="A10" s="18" t="str">
        <x:v>ФОТ / договорная сумма — low</x:v>
      </x:c>
      <x:c r="B10" s="47" t="n">
        <x:f>Assumptions!B32/B7</x:f>
        <x:v>0.6284006192408814</x:v>
      </x:c>
      <x:c r="K10" s="18" t="str">
        <x:v>Творческая составляющая</x:v>
      </x:c>
      <x:c r="L10" s="18" t="n">
        <x:v>4</x:v>
      </x:c>
      <x:c r="M10" s="18" t="str">
        <x:v>Arts, music, theatre, events and project heritage appear across offer</x:v>
      </x:c>
      <x:c r="N10" s="18" t="str">
        <x:v>FACT+INFERENCE</x:v>
      </x:c>
      <x:c r="O10" s="18" t="str">
        <x:v>medium</x:v>
      </x:c>
    </x:row>
    <x:row r="11">
      <x:c r="A11" s="18" t="str">
        <x:v>ФОТ / договорная сумма — high</x:v>
      </x:c>
      <x:c r="B11" s="47" t="n">
        <x:f>Assumptions!D32/B7</x:f>
        <x:v>0.7065069108979402</x:v>
      </x:c>
      <x:c r="K11" s="18" t="str">
        <x:v>Персонализация</x:v>
      </x:c>
      <x:c r="L11" s="18" t="n">
        <x:v>4</x:v>
      </x:c>
      <x:c r="M11" s="18" t="str">
        <x:v>Small groups and three adults per group are publicly claimed</x:v>
      </x:c>
      <x:c r="N11" s="18" t="str">
        <x:v>AD_CLAIM</x:v>
      </x:c>
      <x:c r="O11" s="18" t="str">
        <x:v>medium-low</x:v>
      </x:c>
    </x:row>
    <x:row r="12">
      <x:c r="A12" s="25" t="str">
        <x:v>Статус фактической маржи</x:v>
      </x:c>
      <x:c r="B12" s="32" t="str">
        <x:v>НЕ ДОКАЗАНО</x:v>
      </x:c>
      <x:c r="K12" s="18" t="str">
        <x:v>Удобство семьи</x:v>
      </x:c>
      <x:c r="L12" s="18" t="n">
        <x:v>4</x:v>
      </x:c>
      <x:c r="M12" s="18" t="str">
        <x:v>Full day, food, pool, clubs and adjacent ages</x:v>
      </x:c>
      <x:c r="N12" s="25" t="str">
        <x:v>FACT</x:v>
      </x:c>
      <x:c r="O12" s="18" t="str">
        <x:v>high_for_offer</x:v>
      </x:c>
    </x:row>
    <x:row r="13">
      <x:c r="K13" s="18" t="str">
        <x:v>Доказательность результата</x:v>
      </x:c>
      <x:c r="L13" s="18" t="n">
        <x:v>2</x:v>
      </x:c>
      <x:c r="M13" s="18" t="str">
        <x:v>76% top-10 claim lacks denominator, method and cohort</x:v>
      </x:c>
      <x:c r="N13" s="18" t="str">
        <x:v>EVIDENCE_GAP</x:v>
      </x:c>
      <x:c r="O13" s="18" t="str">
        <x:v>high</x:v>
      </x:c>
    </x:row>
    <x:row r="14" ht="22" customHeight="1">
      <x:c r="A14" s="41" t="str">
        <x:v>Метрики ArtHello</x:v>
      </x:c>
      <x:c r="B14" s="41" t="str">
        <x:v>Метрики ArtHello</x:v>
      </x:c>
      <x:c r="C14" s="41" t="str">
        <x:v>Метрики ArtHello</x:v>
      </x:c>
      <x:c r="D14" s="41" t="str">
        <x:v>Метрики ArtHello</x:v>
      </x:c>
      <x:c r="E14" s="41" t="str">
        <x:v>Метрики ArtHello</x:v>
      </x:c>
      <x:c r="F14" s="41" t="str">
        <x:v>Метрики ArtHello</x:v>
      </x:c>
      <x:c r="G14" s="41" t="str">
        <x:v>Метрики ArtHello</x:v>
      </x:c>
      <x:c r="H14" s="41" t="str">
        <x:v>Метрики ArtHello</x:v>
      </x:c>
      <x:c r="I14" s="41" t="str">
        <x:v>Метрики ArtHello</x:v>
      </x:c>
      <x:c r="K14" s="18" t="str">
        <x:v>Community</x:v>
      </x:c>
      <x:c r="L14" s="18" t="n">
        <x:v>3</x:v>
      </x:c>
      <x:c r="M14" s="18" t="str">
        <x:v>Warm reputation visible; formal membership/community mechanics not shown</x:v>
      </x:c>
      <x:c r="N14" s="18" t="str">
        <x:v>INFERENCE</x:v>
      </x:c>
      <x:c r="O14" s="18" t="str">
        <x:v>low-medium</x:v>
      </x:c>
    </x:row>
    <x:row r="15" ht="30" customHeight="1">
      <x:c r="A15" s="14" t="str">
        <x:v>metric</x:v>
      </x:c>
      <x:c r="B15" s="14" t="str">
        <x:v>value</x:v>
      </x:c>
      <x:c r="C15" s="14" t="str">
        <x:v>unit</x:v>
      </x:c>
      <x:c r="D15" s="14" t="str">
        <x:v>period</x:v>
      </x:c>
      <x:c r="E15" s="14" t="str">
        <x:v>scope</x:v>
      </x:c>
      <x:c r="F15" s="14" t="str">
        <x:v>classification</x:v>
      </x:c>
      <x:c r="G15" s="14" t="str">
        <x:v>confidence</x:v>
      </x:c>
      <x:c r="H15" s="14" t="str">
        <x:v>source_id</x:v>
      </x:c>
      <x:c r="I15" s="14" t="str">
        <x:v>notes</x:v>
      </x:c>
      <x:c r="K15" s="18" t="str">
        <x:v>Цифровая прозрачность</x:v>
      </x:c>
      <x:c r="L15" s="18" t="n">
        <x:v>2</x:v>
      </x:c>
      <x:c r="M15" s="18" t="str">
        <x:v>Contradictory prices, ages, expired promotion and brand architecture</x:v>
      </x:c>
      <x:c r="N15" s="18" t="str">
        <x:v>FACT+INFERENCE</x:v>
      </x:c>
      <x:c r="O15" s="18" t="str">
        <x:v>high</x:v>
      </x:c>
    </x:row>
    <x:row r="16">
      <x:c r="A16" s="18" t="str">
        <x:v>Public garden price</x:v>
      </x:c>
      <x:c r="B16" s="18" t="n">
        <x:v>70000</x:v>
      </x:c>
      <x:c r="C16" s="18" t="str">
        <x:v>RUB/month</x:v>
      </x:c>
      <x:c r="D16" s="18" t="str">
        <x:v>accessed 2026-07-25</x:v>
      </x:c>
      <x:c r="E16" s="18" t="str">
        <x:v>Atlas</x:v>
      </x:c>
      <x:c r="F16" s="25" t="str">
        <x:v>FACT</x:v>
      </x:c>
      <x:c r="G16" s="18" t="str">
        <x:v>high</x:v>
      </x:c>
      <x:c r="H16" s="18" t="str">
        <x:v>SRC-AH-02</x:v>
      </x:c>
      <x:c r="I16" s="18" t="str">
        <x:v>Official page says from 70000</x:v>
      </x:c>
      <x:c r="K16" s="18" t="str">
        <x:v>Масштаб</x:v>
      </x:c>
      <x:c r="L16" s="18" t="n">
        <x:v>2</x:v>
      </x:c>
      <x:c r="M16" s="18" t="str">
        <x:v>Small cluster; former locations publicly marked closed</x:v>
      </x:c>
      <x:c r="N16" s="18" t="str">
        <x:v>FACT+INFERENCE</x:v>
      </x:c>
      <x:c r="O16" s="18" t="str">
        <x:v>medium</x:v>
      </x:c>
    </x:row>
    <x:row r="17">
      <x:c r="A17" s="18" t="str">
        <x:v>Public school price website</x:v>
      </x:c>
      <x:c r="B17" s="18" t="n">
        <x:v>75000</x:v>
      </x:c>
      <x:c r="C17" s="18" t="str">
        <x:v>RUB/month</x:v>
      </x:c>
      <x:c r="D17" s="18" t="str">
        <x:v>accessed 2026-07-25</x:v>
      </x:c>
      <x:c r="E17" s="18" t="str">
        <x:v>Atlas school</x:v>
      </x:c>
      <x:c r="F17" s="25" t="str">
        <x:v>FACT</x:v>
      </x:c>
      <x:c r="G17" s="18" t="str">
        <x:v>high</x:v>
      </x:c>
      <x:c r="H17" s="18" t="str">
        <x:v>SRC-AH-03</x:v>
      </x:c>
      <x:c r="I17" s="18" t="str">
        <x:v>Full-day</x:v>
      </x:c>
      <x:c r="K17" s="18" t="str">
        <x:v>Репутация</x:v>
      </x:c>
      <x:c r="L17" s="18" t="n">
        <x:v>4</x:v>
      </x:c>
      <x:c r="M17" s="18" t="str">
        <x:v>High Atlas and Listvenny map ratings; ratings are not quality rankings</x:v>
      </x:c>
      <x:c r="N17" s="18" t="str">
        <x:v>SIGNAL</x:v>
      </x:c>
      <x:c r="O17" s="18" t="str">
        <x:v>medium</x:v>
      </x:c>
    </x:row>
    <x:row r="18">
      <x:c r="A18" s="18" t="str">
        <x:v>Public school price maps</x:v>
      </x:c>
      <x:c r="B18" s="18" t="n">
        <x:v>80000</x:v>
      </x:c>
      <x:c r="C18" s="18" t="str">
        <x:v>RUB/month</x:v>
      </x:c>
      <x:c r="D18" s="18" t="str">
        <x:v>accessed 2026-07-25</x:v>
      </x:c>
      <x:c r="E18" s="18" t="str">
        <x:v>Atlas school</x:v>
      </x:c>
      <x:c r="F18" s="25" t="str">
        <x:v>FACT</x:v>
      </x:c>
      <x:c r="G18" s="18" t="str">
        <x:v>medium</x:v>
      </x:c>
      <x:c r="H18" s="18" t="str">
        <x:v>SRC-AH-07</x:v>
      </x:c>
      <x:c r="I18" s="18" t="str">
        <x:v>Conflicts with website</x:v>
      </x:c>
    </x:row>
    <x:row r="19">
      <x:c r="A19" s="18" t="str">
        <x:v>Garden contracted children</x:v>
      </x:c>
      <x:c r="B19" s="18" t="n">
        <x:v>64</x:v>
      </x:c>
      <x:c r="C19" s="18" t="str">
        <x:v>contracts</x:v>
      </x:c>
      <x:c r="D19" s="18" t="str">
        <x:v>updated 2026-05-26</x:v>
      </x:c>
      <x:c r="E19" s="18" t="str">
        <x:v>ArtHello garden</x:v>
      </x:c>
      <x:c r="F19" s="18" t="str">
        <x:v>PRELIMINARY</x:v>
      </x:c>
      <x:c r="G19" s="18" t="str">
        <x:v>low</x:v>
      </x:c>
      <x:c r="H19" s="18" t="str">
        <x:v>SRC-INT-01</x:v>
      </x:c>
      <x:c r="I19" s="18" t="str">
        <x:v>Working sheet; not live CRM</x:v>
      </x:c>
    </x:row>
    <x:row r="20" ht="22" customHeight="1">
      <x:c r="A20" s="18" t="str">
        <x:v>Garden contracted monthly revenue</x:v>
      </x:c>
      <x:c r="B20" s="18" t="n">
        <x:v>3525100</x:v>
      </x:c>
      <x:c r="C20" s="18" t="str">
        <x:v>RUB/month</x:v>
      </x:c>
      <x:c r="D20" s="18" t="str">
        <x:v>updated 2026-05-26</x:v>
      </x:c>
      <x:c r="E20" s="18" t="str">
        <x:v>ArtHello garden</x:v>
      </x:c>
      <x:c r="F20" s="18" t="str">
        <x:v>PRELIMINARY</x:v>
      </x:c>
      <x:c r="G20" s="18" t="str">
        <x:v>low</x:v>
      </x:c>
      <x:c r="H20" s="18" t="str">
        <x:v>SRC-INT-01</x:v>
      </x:c>
      <x:c r="I20" s="18" t="str">
        <x:v>Working sheet; not bank-reconciled</x:v>
      </x:c>
      <x:c r="K20" s="41" t="str">
        <x:v>Наиболее перспективный новый продукт</x:v>
      </x:c>
      <x:c r="L20" s="41" t="str">
        <x:v>Наиболее перспективный новый продукт</x:v>
      </x:c>
      <x:c r="M20" s="41" t="str">
        <x:v>Наиболее перспективный новый продукт</x:v>
      </x:c>
      <x:c r="N20" s="41" t="str">
        <x:v>Наиболее перспективный новый продукт</x:v>
      </x:c>
      <x:c r="O20" s="41" t="str">
        <x:v>Наиболее перспективный новый продукт</x:v>
      </x:c>
      <x:c r="P20" s="41" t="str">
        <x:v>Наиболее перспективный новый продукт</x:v>
      </x:c>
      <x:c r="Q20" s="41" t="str">
        <x:v>Наиболее перспективный новый продукт</x:v>
      </x:c>
      <x:c r="R20" s="41" t="str">
        <x:v>Наиболее перспективный новый продукт</x:v>
      </x:c>
      <x:c r="S20" s="41" t="str">
        <x:v>Наиболее перспективный новый продукт</x:v>
      </x:c>
      <x:c r="T20" s="41" t="str">
        <x:v>Наиболее перспективный новый продукт</x:v>
      </x:c>
      <x:c r="U20" s="41" t="str">
        <x:v>Наиболее перспективный новый продукт</x:v>
      </x:c>
      <x:c r="V20" s="41" t="str">
        <x:v>Наиболее перспективный новый продукт</x:v>
      </x:c>
      <x:c r="W20" s="41" t="str">
        <x:v>Наиболее перспективный новый продукт</x:v>
      </x:c>
      <x:c r="X20" s="41" t="str">
        <x:v>Наиболее перспективный новый продукт</x:v>
      </x:c>
      <x:c r="Y20" s="41" t="str">
        <x:v>Наиболее перспективный новый продукт</x:v>
      </x:c>
      <x:c r="Z20" s="41" t="str">
        <x:v>Наиболее перспективный новый продукт</x:v>
      </x:c>
      <x:c r="AA20" s="41" t="str">
        <x:v>Наиболее перспективный новый продукт</x:v>
      </x:c>
    </x:row>
    <x:row r="21" ht="30" customHeight="1">
      <x:c r="A21" s="18" t="str">
        <x:v>Garden contracted ARPU</x:v>
      </x:c>
      <x:c r="B21" s="18" t="n">
        <x:v>55080</x:v>
      </x:c>
      <x:c r="C21" s="18" t="str">
        <x:v>RUB/month</x:v>
      </x:c>
      <x:c r="D21" s="18" t="str">
        <x:v>updated 2026-05-26</x:v>
      </x:c>
      <x:c r="E21" s="18" t="str">
        <x:v>ArtHello garden</x:v>
      </x:c>
      <x:c r="F21" s="18" t="str">
        <x:v>CALCULATION</x:v>
      </x:c>
      <x:c r="G21" s="18" t="str">
        <x:v>low</x:v>
      </x:c>
      <x:c r="H21" s="18" t="str">
        <x:v>SRC-INT-01</x:v>
      </x:c>
      <x:c r="I21" s="18" t="str">
        <x:v>3525100/64</x:v>
      </x:c>
      <x:c r="K21" s="14" t="str">
        <x:v>product</x:v>
      </x:c>
      <x:c r="L21" s="14" t="str">
        <x:v>target</x:v>
      </x:c>
      <x:c r="M21" s="14" t="str">
        <x:v>problem</x:v>
      </x:c>
      <x:c r="N21" s="14" t="str">
        <x:v>format</x:v>
      </x:c>
      <x:c r="O21" s="14" t="str">
        <x:v>groups</x:v>
      </x:c>
      <x:c r="P21" s="14" t="str">
        <x:v>seats_per_group</x:v>
      </x:c>
      <x:c r="Q21" s="14" t="str">
        <x:v>monthly_price_rub</x:v>
      </x:c>
      <x:c r="R21" s="14" t="str">
        <x:v>monthly_revenue_rub</x:v>
      </x:c>
      <x:c r="S21" s="14" t="str">
        <x:v>eight_week_revenue_rub</x:v>
      </x:c>
      <x:c r="T21" s="14" t="str">
        <x:v>eight_week_cost_low_rub</x:v>
      </x:c>
      <x:c r="U21" s="14" t="str">
        <x:v>eight_week_cost_high_rub</x:v>
      </x:c>
      <x:c r="V21" s="14" t="str">
        <x:v>eight_week_contribution_low_rub</x:v>
      </x:c>
      <x:c r="W21" s="14" t="str">
        <x:v>eight_week_contribution_high_rub</x:v>
      </x:c>
      <x:c r="X21" s="14" t="str">
        <x:v>pre_sale_gate</x:v>
      </x:c>
      <x:c r="Y21" s="14" t="str">
        <x:v>success_gate</x:v>
      </x:c>
      <x:c r="Z21" s="14" t="str">
        <x:v>stop_gate</x:v>
      </x:c>
      <x:c r="AA21" s="14" t="str">
        <x:v>classification</x:v>
      </x:c>
    </x:row>
    <x:row r="22">
      <x:c r="A22" s="18" t="str">
        <x:v>School contracts</x:v>
      </x:c>
      <x:c r="B22" s="18" t="n">
        <x:v>29</x:v>
      </x:c>
      <x:c r="C22" s="18" t="str">
        <x:v>contracts</x:v>
      </x:c>
      <x:c r="D22" s="18" t="str">
        <x:v>updated 2026-05-26</x:v>
      </x:c>
      <x:c r="E22" s="18" t="str">
        <x:v>ArtHello school</x:v>
      </x:c>
      <x:c r="F22" s="18" t="str">
        <x:v>PRELIMINARY</x:v>
      </x:c>
      <x:c r="G22" s="18" t="str">
        <x:v>low</x:v>
      </x:c>
      <x:c r="H22" s="18" t="str">
        <x:v>SRC-INT-01</x:v>
      </x:c>
      <x:c r="I22" s="18" t="str">
        <x:v>Working sheet; not live CRM</x:v>
      </x:c>
      <x:c r="K22" s="18" t="str">
        <x:v>ArtHello После школы: Projects</x:v>
      </x:c>
      <x:c r="L22" s="18" t="str">
        <x:v>children 6–10 within 15-minute catchment</x:v>
      </x:c>
      <x:c r="M22" s="18" t="str">
        <x:v>safe after-school time, lower homework/logistics load and visible result</x:v>
      </x:c>
      <x:c r="N22" s="18" t="str">
        <x:v>3 days/week; optional homework block; creative/STEM/English project; 8-week cycle; public defence; portfolio; weekly note</x:v>
      </x:c>
      <x:c r="O22" s="18" t="n">
        <x:v>2</x:v>
      </x:c>
      <x:c r="P22" s="18" t="n">
        <x:v>10</x:v>
      </x:c>
      <x:c r="Q22" s="18" t="n">
        <x:v>24900</x:v>
      </x:c>
      <x:c r="R22" s="18" t="n">
        <x:v>498000</x:v>
      </x:c>
      <x:c r="S22" s="18" t="n">
        <x:v>996000</x:v>
      </x:c>
      <x:c r="T22" s="18" t="n">
        <x:v>600000</x:v>
      </x:c>
      <x:c r="U22" s="18" t="n">
        <x:v>750000</x:v>
      </x:c>
      <x:c r="V22" s="18" t="n">
        <x:v>246000</x:v>
      </x:c>
      <x:c r="W22" s="18" t="n">
        <x:v>396000</x:v>
      </x:c>
      <x:c r="X22" s="18" t="str">
        <x:v>minimum 16 paid seats</x:v>
      </x:c>
      <x:c r="Y22" s="18" t="str">
        <x:v>completion ≥85%; renewal ≥60%; gross margin ≥25%; no critical incident</x:v>
      </x:c>
      <x:c r="Z22" s="18" t="str">
        <x:v>&lt;12 deposits; margin &lt;25%; renewal &lt;40%; any critical safety incident</x:v>
      </x:c>
      <x:c r="AA22" s="18" t="str">
        <x:v>HYPOTHESIS</x:v>
      </x:c>
    </x:row>
    <x:row r="23">
      <x:c r="A23" s="18" t="str">
        <x:v>School contracted monthly revenue</x:v>
      </x:c>
      <x:c r="B23" s="18" t="n">
        <x:v>2108249</x:v>
      </x:c>
      <x:c r="C23" s="18" t="str">
        <x:v>RUB/month</x:v>
      </x:c>
      <x:c r="D23" s="18" t="str">
        <x:v>updated 2026-05-26</x:v>
      </x:c>
      <x:c r="E23" s="18" t="str">
        <x:v>ArtHello school</x:v>
      </x:c>
      <x:c r="F23" s="18" t="str">
        <x:v>PRELIMINARY</x:v>
      </x:c>
      <x:c r="G23" s="18" t="str">
        <x:v>low</x:v>
      </x:c>
      <x:c r="H23" s="18" t="str">
        <x:v>SRC-INT-01</x:v>
      </x:c>
      <x:c r="I23" s="18" t="str">
        <x:v>Working sheet; not bank-reconciled</x:v>
      </x:c>
    </x:row>
    <x:row r="24">
      <x:c r="A24" s="18" t="str">
        <x:v>School contracted ARPU</x:v>
      </x:c>
      <x:c r="B24" s="18" t="n">
        <x:v>72698</x:v>
      </x:c>
      <x:c r="C24" s="18" t="str">
        <x:v>RUB/month</x:v>
      </x:c>
      <x:c r="D24" s="18" t="str">
        <x:v>updated 2026-05-26</x:v>
      </x:c>
      <x:c r="E24" s="18" t="str">
        <x:v>ArtHello school</x:v>
      </x:c>
      <x:c r="F24" s="18" t="str">
        <x:v>CALCULATION</x:v>
      </x:c>
      <x:c r="G24" s="18" t="str">
        <x:v>low</x:v>
      </x:c>
      <x:c r="H24" s="18" t="str">
        <x:v>SRC-INT-01</x:v>
      </x:c>
      <x:c r="I24" s="18" t="str">
        <x:v>2108249/29</x:v>
      </x:c>
    </x:row>
    <x:row r="25">
      <x:c r="A25" s="18" t="str">
        <x:v>Combined contracted monthly revenue</x:v>
      </x:c>
      <x:c r="B25" s="18" t="n">
        <x:v>5633349</x:v>
      </x:c>
      <x:c r="C25" s="18" t="str">
        <x:v>RUB/month</x:v>
      </x:c>
      <x:c r="D25" s="18" t="str">
        <x:v>updated 2026-05-26</x:v>
      </x:c>
      <x:c r="E25" s="18" t="str">
        <x:v>Atlas garden + school</x:v>
      </x:c>
      <x:c r="F25" s="18" t="str">
        <x:v>CALCULATION</x:v>
      </x:c>
      <x:c r="G25" s="18" t="str">
        <x:v>low</x:v>
      </x:c>
      <x:c r="H25" s="18" t="str">
        <x:v>SRC-INT-01</x:v>
      </x:c>
      <x:c r="I25" s="18" t="str">
        <x:v>3525100+2108249</x:v>
      </x:c>
    </x:row>
    <x:row r="26">
      <x:c r="A26" s="18" t="str">
        <x:v>Atlas payroll low</x:v>
      </x:c>
      <x:c r="B26" s="18" t="n">
        <x:v>3540000</x:v>
      </x:c>
      <x:c r="C26" s="18" t="str">
        <x:v>RUB/month</x:v>
      </x:c>
      <x:c r="D26" s="18" t="str">
        <x:v>Sep 2025–Apr 2026</x:v>
      </x:c>
      <x:c r="E26" s="18" t="str">
        <x:v>Atlas</x:v>
      </x:c>
      <x:c r="F26" s="18" t="str">
        <x:v>PRELIMINARY</x:v>
      </x:c>
      <x:c r="G26" s="18" t="str">
        <x:v>medium-low</x:v>
      </x:c>
      <x:c r="H26" s="18" t="str">
        <x:v>SRC-INT-02</x:v>
      </x:c>
      <x:c r="I26" s="18" t="str">
        <x:v>Approx lower point of aggregate monthly range</x:v>
      </x:c>
    </x:row>
    <x:row r="27">
      <x:c r="A27" s="18" t="str">
        <x:v>Atlas payroll high</x:v>
      </x:c>
      <x:c r="B27" s="18" t="n">
        <x:v>3980000</x:v>
      </x:c>
      <x:c r="C27" s="18" t="str">
        <x:v>RUB/month</x:v>
      </x:c>
      <x:c r="D27" s="18" t="str">
        <x:v>Sep 2025–Apr 2026</x:v>
      </x:c>
      <x:c r="E27" s="18" t="str">
        <x:v>Atlas</x:v>
      </x:c>
      <x:c r="F27" s="18" t="str">
        <x:v>PRELIMINARY</x:v>
      </x:c>
      <x:c r="G27" s="18" t="str">
        <x:v>medium-low</x:v>
      </x:c>
      <x:c r="H27" s="18" t="str">
        <x:v>SRC-INT-02</x:v>
      </x:c>
      <x:c r="I27" s="18" t="str">
        <x:v>Approx upper point of aggregate monthly range</x:v>
      </x:c>
    </x:row>
    <x:row r="28">
      <x:c r="A28" s="18" t="str">
        <x:v>Payroll share low</x:v>
      </x:c>
      <x:c r="B28" s="18" t="n">
        <x:v>62.8</x:v>
      </x:c>
      <x:c r="C28" s="18" t="str">
        <x:v>percent</x:v>
      </x:c>
      <x:c r="D28" s="18" t="str">
        <x:v>preliminary comparison</x:v>
      </x:c>
      <x:c r="E28" s="18" t="str">
        <x:v>Atlas</x:v>
      </x:c>
      <x:c r="F28" s="18" t="str">
        <x:v>CALCULATION</x:v>
      </x:c>
      <x:c r="G28" s="18" t="str">
        <x:v>low</x:v>
      </x:c>
      <x:c r="H28" s="18" t="str">
        <x:v>SRC-INT-01+SRC-INT-02</x:v>
      </x:c>
      <x:c r="I28" s="18" t="str">
        <x:v>3540000/5633349</x:v>
      </x:c>
    </x:row>
    <x:row r="29">
      <x:c r="A29" s="18" t="str">
        <x:v>Payroll share high</x:v>
      </x:c>
      <x:c r="B29" s="18" t="n">
        <x:v>70.7</x:v>
      </x:c>
      <x:c r="C29" s="18" t="str">
        <x:v>percent</x:v>
      </x:c>
      <x:c r="D29" s="18" t="str">
        <x:v>preliminary comparison</x:v>
      </x:c>
      <x:c r="E29" s="18" t="str">
        <x:v>Atlas</x:v>
      </x:c>
      <x:c r="F29" s="18" t="str">
        <x:v>CALCULATION</x:v>
      </x:c>
      <x:c r="G29" s="18" t="str">
        <x:v>low</x:v>
      </x:c>
      <x:c r="H29" s="18" t="str">
        <x:v>SRC-INT-01+SRC-INT-02</x:v>
      </x:c>
      <x:c r="I29" s="18" t="str">
        <x:v>3980000/5633349</x:v>
      </x:c>
    </x:row>
    <x:row r="30">
      <x:c r="A30" s="18" t="str">
        <x:v>Marketing spend</x:v>
      </x:c>
      <x:c r="B30" s="18" t="n">
        <x:v>71991</x:v>
      </x:c>
      <x:c r="C30" s="18" t="str">
        <x:v>RUB</x:v>
      </x:c>
      <x:c r="D30" s="18" t="str">
        <x:v>2026-03-23–2026-05-17</x:v>
      </x:c>
      <x:c r="E30" s="18" t="str">
        <x:v>ArtHello</x:v>
      </x:c>
      <x:c r="F30" s="25" t="str">
        <x:v>FACT_INTERNAL</x:v>
      </x:c>
      <x:c r="G30" s="18" t="str">
        <x:v>medium</x:v>
      </x:c>
      <x:c r="H30" s="18" t="str">
        <x:v>SRC-INT-03</x:v>
      </x:c>
      <x:c r="I30" s="18" t="str">
        <x:v>Dashboard</x:v>
      </x:c>
    </x:row>
    <x:row r="31">
      <x:c r="A31" s="18" t="str">
        <x:v>Marketing clicks</x:v>
      </x:c>
      <x:c r="B31" s="18" t="n">
        <x:v>2361</x:v>
      </x:c>
      <x:c r="C31" s="18" t="str">
        <x:v>clicks</x:v>
      </x:c>
      <x:c r="D31" s="18" t="str">
        <x:v>2026-03-23–2026-05-17</x:v>
      </x:c>
      <x:c r="E31" s="18" t="str">
        <x:v>ArtHello</x:v>
      </x:c>
      <x:c r="F31" s="25" t="str">
        <x:v>FACT_INTERNAL</x:v>
      </x:c>
      <x:c r="G31" s="18" t="str">
        <x:v>medium</x:v>
      </x:c>
      <x:c r="H31" s="18" t="str">
        <x:v>SRC-INT-03</x:v>
      </x:c>
      <x:c r="I31" s="18" t="str">
        <x:v>Dashboard</x:v>
      </x:c>
    </x:row>
    <x:row r="32">
      <x:c r="A32" s="18" t="str">
        <x:v>Marketing leads</x:v>
      </x:c>
      <x:c r="B32" s="18" t="n">
        <x:v>36</x:v>
      </x:c>
      <x:c r="C32" s="18" t="str">
        <x:v>leads</x:v>
      </x:c>
      <x:c r="D32" s="18" t="str">
        <x:v>2026-03-23–2026-05-17</x:v>
      </x:c>
      <x:c r="E32" s="18" t="str">
        <x:v>ArtHello</x:v>
      </x:c>
      <x:c r="F32" s="25" t="str">
        <x:v>FACT_INTERNAL</x:v>
      </x:c>
      <x:c r="G32" s="18" t="str">
        <x:v>medium</x:v>
      </x:c>
      <x:c r="H32" s="18" t="str">
        <x:v>SRC-INT-03</x:v>
      </x:c>
      <x:c r="I32" s="18" t="str">
        <x:v>Factual leads field</x:v>
      </x:c>
    </x:row>
    <x:row r="33">
      <x:c r="A33" s="18" t="str">
        <x:v>Marketing CPL</x:v>
      </x:c>
      <x:c r="B33" s="18" t="n">
        <x:v>1999.75</x:v>
      </x:c>
      <x:c r="C33" s="18" t="str">
        <x:v>RUB/lead</x:v>
      </x:c>
      <x:c r="D33" s="18" t="str">
        <x:v>2026-03-23–2026-05-17</x:v>
      </x:c>
      <x:c r="E33" s="18" t="str">
        <x:v>ArtHello</x:v>
      </x:c>
      <x:c r="F33" s="18" t="str">
        <x:v>CALCULATION</x:v>
      </x:c>
      <x:c r="G33" s="18" t="str">
        <x:v>medium</x:v>
      </x:c>
      <x:c r="H33" s="18" t="str">
        <x:v>SRC-INT-03</x:v>
      </x:c>
      <x:c r="I33" s="18" t="str">
        <x:v>No link to contract</x:v>
      </x:c>
    </x:row>
    <x:row r="34">
      <x:c r="A34" s="18" t="str">
        <x:v>Known management company revenue</x:v>
      </x:c>
      <x:c r="B34" s="18" t="n">
        <x:v>11539000</x:v>
      </x:c>
      <x:c r="C34" s="18" t="str">
        <x:v>RUB/year</x:v>
      </x:c>
      <x:c r="D34" s="18" t="n">
        <x:v>2025</x:v>
      </x:c>
      <x:c r="E34" s="18" t="str">
        <x:v>ООО УК Детское образование</x:v>
      </x:c>
      <x:c r="F34" s="25" t="str">
        <x:v>FACT_PUBLIC</x:v>
      </x:c>
      <x:c r="G34" s="18" t="str">
        <x:v>medium</x:v>
      </x:c>
      <x:c r="H34" s="18" t="str">
        <x:v>SRC-LEGAL-01</x:v>
      </x:c>
      <x:c r="I34" s="18" t="str">
        <x:v>Not consolidated ArtHello group</x:v>
      </x:c>
    </x:row>
    <x:row r="35">
      <x:c r="A35" s="18" t="str">
        <x:v>Known management company profit</x:v>
      </x:c>
      <x:c r="B35" s="18" t="n">
        <x:v>400000</x:v>
      </x:c>
      <x:c r="C35" s="18" t="str">
        <x:v>RUB/year</x:v>
      </x:c>
      <x:c r="D35" s="18" t="n">
        <x:v>2025</x:v>
      </x:c>
      <x:c r="E35" s="18" t="str">
        <x:v>ООО УК Детское образование</x:v>
      </x:c>
      <x:c r="F35" s="25" t="str">
        <x:v>FACT_PUBLIC</x:v>
      </x:c>
      <x:c r="G35" s="18" t="str">
        <x:v>medium</x:v>
      </x:c>
      <x:c r="H35" s="18" t="str">
        <x:v>SRC-LEGAL-01</x:v>
      </x:c>
      <x:c r="I35" s="18" t="str">
        <x:v>Not consolidated ArtHello group</x:v>
      </x:c>
    </x:row>
    <x:row r="36">
      <x:c r="A36" s="18" t="str">
        <x:v>Known management company profit margin</x:v>
      </x:c>
      <x:c r="B36" s="18" t="n">
        <x:v>3.5</x:v>
      </x:c>
      <x:c r="C36" s="18" t="str">
        <x:v>percent</x:v>
      </x:c>
      <x:c r="D36" s="18" t="n">
        <x:v>2025</x:v>
      </x:c>
      <x:c r="E36" s="18" t="str">
        <x:v>ООО УК Детское образование</x:v>
      </x:c>
      <x:c r="F36" s="18" t="str">
        <x:v>CALCULATION</x:v>
      </x:c>
      <x:c r="G36" s="18" t="str">
        <x:v>medium</x:v>
      </x:c>
      <x:c r="H36" s="18" t="str">
        <x:v>SRC-LEGAL-01</x:v>
      </x:c>
      <x:c r="I36" s="18" t="str">
        <x:v>400000/11539000</x:v>
      </x:c>
    </x:row>
    <x:row r="37">
      <x:c r="A37" s="18" t="str">
        <x:v>Yandex Atlas rating</x:v>
      </x:c>
      <x:c r="B37" s="18" t="n">
        <x:v>4.9</x:v>
      </x:c>
      <x:c r="C37" s="18" t="str">
        <x:v>rating/5</x:v>
      </x:c>
      <x:c r="D37" s="18" t="str">
        <x:v>accessed 2026-07-25</x:v>
      </x:c>
      <x:c r="E37" s="18" t="str">
        <x:v>Atlas</x:v>
      </x:c>
      <x:c r="F37" s="25" t="str">
        <x:v>FACT_PLATFORM</x:v>
      </x:c>
      <x:c r="G37" s="18" t="str">
        <x:v>medium-low</x:v>
      </x:c>
      <x:c r="H37" s="18" t="str">
        <x:v>SRC-AH-07</x:v>
      </x:c>
      <x:c r="I37" s="18" t="str">
        <x:v>178 ratings; self-selected</x:v>
      </x:c>
    </x:row>
    <x:row r="38">
      <x:c r="A38" s="18" t="str">
        <x:v>Yandex Atlas reviews</x:v>
      </x:c>
      <x:c r="B38" s="18" t="n">
        <x:v>57</x:v>
      </x:c>
      <x:c r="C38" s="18" t="str">
        <x:v>reviews</x:v>
      </x:c>
      <x:c r="D38" s="18" t="str">
        <x:v>accessed 2026-07-25</x:v>
      </x:c>
      <x:c r="E38" s="18" t="str">
        <x:v>Atlas</x:v>
      </x:c>
      <x:c r="F38" s="25" t="str">
        <x:v>FACT_PLATFORM</x:v>
      </x:c>
      <x:c r="G38" s="18" t="str">
        <x:v>medium-low</x:v>
      </x:c>
      <x:c r="H38" s="18" t="str">
        <x:v>SRC-AH-07</x:v>
      </x:c>
      <x:c r="I38" s="18" t="str">
        <x:v>Self-selected</x:v>
      </x:c>
    </x:row>
    <x:row r="39">
      <x:c r="A39" s="18" t="str">
        <x:v>2GIS available ArtHello text reviews</x:v>
      </x:c>
      <x:c r="B39" s="18" t="n">
        <x:v>20</x:v>
      </x:c>
      <x:c r="C39" s="18" t="str">
        <x:v>reviews</x:v>
      </x:c>
      <x:c r="D39" s="18" t="str">
        <x:v>accessed 2026-07-25</x:v>
      </x:c>
      <x:c r="E39" s="18" t="str">
        <x:v>two SPb addresses</x:v>
      </x:c>
      <x:c r="F39" s="25" t="str">
        <x:v>FACT_PLATFORM</x:v>
      </x:c>
      <x:c r="G39" s="18" t="str">
        <x:v>medium-low</x:v>
      </x:c>
      <x:c r="H39" s="18" t="str">
        <x:v>SRC-AH-05+SRC-AH-06</x:v>
      </x:c>
      <x:c r="I39" s="18" t="str">
        <x:v>7+13; self-selected</x:v>
      </x:c>
    </x:row>
    <x:row r="42" ht="22" customHeight="1">
      <x:c r="A42" s="41" t="str">
        <x:v>Публично наблюдаемые продукты</x:v>
      </x:c>
      <x:c r="B42" s="41" t="str">
        <x:v>Публично наблюдаемые продукты</x:v>
      </x:c>
      <x:c r="C42" s="41" t="str">
        <x:v>Публично наблюдаемые продукты</x:v>
      </x:c>
      <x:c r="D42" s="41" t="str">
        <x:v>Публично наблюдаемые продукты</x:v>
      </x:c>
      <x:c r="E42" s="41" t="str">
        <x:v>Публично наблюдаемые продукты</x:v>
      </x:c>
      <x:c r="F42" s="41" t="str">
        <x:v>Публично наблюдаемые продукты</x:v>
      </x:c>
      <x:c r="G42" s="41" t="str">
        <x:v>Публично наблюдаемые продукты</x:v>
      </x:c>
      <x:c r="H42" s="41" t="str">
        <x:v>Публично наблюдаемые продукты</x:v>
      </x:c>
      <x:c r="I42" s="41" t="str">
        <x:v>Публично наблюдаемые продукты</x:v>
      </x:c>
    </x:row>
    <x:row r="43" ht="30" customHeight="1">
      <x:c r="A43" s="14" t="str">
        <x:v>product</x:v>
      </x:c>
      <x:c r="B43" s="14" t="str">
        <x:v>status_2026_07_25</x:v>
      </x:c>
      <x:c r="C43" s="14" t="str">
        <x:v>geography</x:v>
      </x:c>
      <x:c r="D43" s="14" t="str">
        <x:v>age_format</x:v>
      </x:c>
      <x:c r="E43" s="14" t="str">
        <x:v>public_price_rub</x:v>
      </x:c>
      <x:c r="F43" s="14" t="str">
        <x:v>public_proof</x:v>
      </x:c>
      <x:c r="G43" s="14" t="str">
        <x:v>review_signal</x:v>
      </x:c>
      <x:c r="H43" s="14" t="str">
        <x:v>confidence</x:v>
      </x:c>
      <x:c r="I43" s="14" t="str">
        <x:v>caveat</x:v>
      </x:c>
    </x:row>
    <x:row r="44">
      <x:c r="A44" s="18" t="str">
        <x:v>Atlas kindergarten</x:v>
      </x:c>
      <x:c r="B44" s="18" t="str">
        <x:v>active_public_site</x:v>
      </x:c>
      <x:c r="C44" s="18" t="str">
        <x:v>SPb; Santyago-de-Kuba 6 k4</x:v>
      </x:c>
      <x:c r="D44" s="18" t="str">
        <x:v>preschool; full day; pool; kitchen; guarded territory</x:v>
      </x:c>
      <x:c r="E44" s="18" t="str">
        <x:v>70000/month; adaptation from 15000; clubs from 4000</x:v>
      </x:c>
      <x:c r="F44" s="18" t="str">
        <x:v>https://arthello.ru/atlas/</x:v>
      </x:c>
      <x:c r="G44" s="18" t="str">
        <x:v>4.9; 178 ratings; 57 reviews</x:v>
      </x:c>
      <x:c r="H44" s="18" t="str">
        <x:v>high for public offer</x:v>
      </x:c>
      <x:c r="I44" s="32" t="str">
        <x:v>capacity, occupancy and realized price NOT_PROVEN</x:v>
      </x:c>
    </x:row>
    <x:row r="45">
      <x:c r="A45" s="18" t="str">
        <x:v>Atlas primary school</x:v>
      </x:c>
      <x:c r="B45" s="18" t="str">
        <x:v>active_public_site</x:v>
      </x:c>
      <x:c r="C45" s="18" t="str">
        <x:v>SPb; same northern cluster</x:v>
      </x:c>
      <x:c r="D45" s="18" t="str">
        <x:v>grades 1–4; 08:45–18:30; up to 12</x:v>
      </x:c>
      <x:c r="E45" s="18" t="str">
        <x:v>75000/month official; 80000 on Yandex</x:v>
      </x:c>
      <x:c r="F45" s="18" t="str">
        <x:v>https://arthello.ru/school/</x:v>
      </x:c>
      <x:c r="G45" s="18" t="str">
        <x:v>combined Atlas card</x:v>
      </x:c>
      <x:c r="H45" s="18" t="str">
        <x:v>medium-high</x:v>
      </x:c>
      <x:c r="I45" s="18" t="str">
        <x:v>price conflict; licence and attestation scheme require document-level legal verification</x:v>
      </x:c>
    </x:row>
    <x:row r="46">
      <x:c r="A46" s="18" t="str">
        <x:v>Listvenny centre</x:v>
      </x:c>
      <x:c r="B46" s="18" t="str">
        <x:v>active_public_site</x:v>
      </x:c>
      <x:c r="C46" s="18" t="str">
        <x:v>SPb; Listvennaya 16</x:v>
      </x:c>
      <x:c r="D46" s="18" t="str">
        <x:v>public pages state ages 1.2–14; mini-garden; half day; city club; arts</x:v>
      </x:c>
      <x:c r="E46" s="18" t="str">
        <x:v>mini full day 34800/12 or 47000/20 days; half day 22800/12; city club from 30000; art 7000/8</x:v>
      </x:c>
      <x:c r="F46" s="18" t="str">
        <x:v>https://arthello.ru/listvenny/</x:v>
      </x:c>
      <x:c r="G46" s="18" t="str">
        <x:v>5.0; 163 ratings; 88 reviews</x:v>
      </x:c>
      <x:c r="H46" s="18" t="str">
        <x:v>medium-high</x:v>
      </x:c>
      <x:c r="I46" s="18" t="str">
        <x:v>age range conflicts with main site; one 26-day price appears erroneous</x:v>
      </x:c>
    </x:row>
    <x:row r="47">
      <x:c r="A47" s="18" t="str">
        <x:v>Nebo kindergarten</x:v>
      </x:c>
      <x:c r="B47" s="18" t="str">
        <x:v>active_separate_site</x:v>
      </x:c>
      <x:c r="C47" s="18" t="str">
        <x:v>Kuzmolovsky</x:v>
      </x:c>
      <x:c r="D47" s="18" t="str">
        <x:v>full day 08:00–19:00; half day 08:00–13:00</x:v>
      </x:c>
      <x:c r="E47" s="18" t="str">
        <x:v>60000 full day; 40000 half day</x:v>
      </x:c>
      <x:c r="F47" s="18" t="str">
        <x:v>https://arthellonebo.ru/</x:v>
      </x:c>
      <x:c r="G47" s="32" t="str">
        <x:v>NOT_PROVEN</x:v>
      </x:c>
      <x:c r="H47" s="18" t="str">
        <x:v>medium</x:v>
      </x:c>
      <x:c r="I47" s="32" t="str">
        <x:v>legal ownership or affiliation and occupancy NOT_PROVEN</x:v>
      </x:c>
    </x:row>
    <x:row r="48">
      <x:c r="A48" s="18" t="str">
        <x:v>School 1–11</x:v>
      </x:c>
      <x:c r="B48" s="18" t="str">
        <x:v>active_separate_site</x:v>
      </x:c>
      <x:c r="C48" s="18" t="str">
        <x:v>Kuzmolovsky; Svetlaya 1</x:v>
      </x:c>
      <x:c r="D48" s="18" t="str">
        <x:v>full day 08:30–18:30; grades publicly described inconsistently</x:v>
      </x:c>
      <x:c r="E48" s="18" t="str">
        <x:v>750000/year; summer 60000/month or 33000/2 weeks</x:v>
      </x:c>
      <x:c r="F48" s="18" t="str">
        <x:v>https://school1-11.ru/</x:v>
      </x:c>
      <x:c r="G48" s="18" t="str">
        <x:v>4.7; 22 ratings; 14 reviews</x:v>
      </x:c>
      <x:c r="H48" s="18" t="str">
        <x:v>medium</x:v>
      </x:c>
      <x:c r="I48" s="32" t="str">
        <x:v>legal ownership relationship and current enrolled grades NOT_PROVEN</x:v>
      </x:c>
    </x:row>
    <x:row r="49">
      <x:c r="A49" s="18" t="str">
        <x:v>Ostrov</x:v>
      </x:c>
      <x:c r="B49" s="18" t="str">
        <x:v>closed_public_card</x:v>
      </x:c>
      <x:c r="C49" s="18" t="str">
        <x:v>SPb; Petrovsky prospect 5</x:v>
      </x:c>
      <x:c r="D49" s="18" t="str">
        <x:v>historical kindergarten/centre</x:v>
      </x:c>
      <x:c r="E49" s="18" t="str">
        <x:v>historical approx 55000; not current</x:v>
      </x:c>
      <x:c r="F49" s="18" t="str">
        <x:v>https://yandex.ru/maps/org/art_hello/91699932768/</x:v>
      </x:c>
      <x:c r="G49" s="18" t="str">
        <x:v>card says no longer operates</x:v>
      </x:c>
      <x:c r="H49" s="18" t="str">
        <x:v>medium</x:v>
      </x:c>
      <x:c r="I49" s="32" t="str">
        <x:v>closure date and reason NOT_PROVEN</x:v>
      </x:c>
    </x:row>
    <x:row r="50">
      <x:c r="A50" s="18" t="str">
        <x:v>Lyzhny / Wunder</x:v>
      </x:c>
      <x:c r="B50" s="18" t="str">
        <x:v>closed_public_card</x:v>
      </x:c>
      <x:c r="C50" s="18" t="str">
        <x:v>SPb; Lyzhny pereulok 4 k1</x:v>
      </x:c>
      <x:c r="D50" s="18" t="str">
        <x:v>historical kindergarten/centre</x:v>
      </x:c>
      <x:c r="E50" s="32" t="str">
        <x:v>NOT_PROVEN</x:v>
      </x:c>
      <x:c r="F50" s="18" t="str">
        <x:v>https://yandex.ru/maps/org/art_hello/5168858949/</x:v>
      </x:c>
      <x:c r="G50" s="18" t="str">
        <x:v>card says no longer operates</x:v>
      </x:c>
      <x:c r="H50" s="18" t="str">
        <x:v>medium</x:v>
      </x:c>
      <x:c r="I50" s="32" t="str">
        <x:v>closure date, economics and reason NOT_PROVEN</x:v>
      </x:c>
    </x:row>
  </x:sheetData>
  <x:mergeCells>
    <x:mergeCell ref="A1:AA1"/>
    <x:mergeCell ref="A2:AA2"/>
    <x:mergeCell ref="A4:H4"/>
    <x:mergeCell ref="A14:I14"/>
    <x:mergeCell ref="A42:I42"/>
    <x:mergeCell ref="K4:O4"/>
    <x:mergeCell ref="K20:AA2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3" hidden="0" customWidth="1"/>
    <x:col min="3" max="3" width="10" hidden="0" customWidth="1"/>
    <x:col min="4" max="4" width="10" hidden="0" customWidth="1"/>
    <x:col min="5" max="5" width="16" hidden="0" customWidth="1"/>
    <x:col min="6" max="6" width="10" hidden="0" customWidth="1"/>
    <x:col min="7" max="7" width="20" hidden="0" customWidth="1"/>
    <x:col min="8" max="8" width="12" hidden="0" customWidth="1"/>
    <x:col min="9" max="9" width="22" hidden="0" customWidth="1"/>
    <x:col min="10" max="10" width="21" hidden="0" customWidth="1"/>
    <x:col min="11" max="11" width="15" hidden="0" customWidth="1"/>
    <x:col min="12" max="12" width="14" hidden="0" customWidth="1"/>
    <x:col min="13" max="13" width="13" hidden="0" customWidth="1"/>
    <x:col min="14" max="14" width="19" hidden="0" customWidth="1"/>
    <x:col min="15" max="15" width="48" hidden="0" customWidth="1"/>
    <x:col min="16" max="16" width="48" hidden="0" customWidth="1"/>
    <x:col min="17" max="17" width="14" hidden="0" customWidth="1"/>
    <x:col min="18" max="18" width="30" hidden="0" customWidth="1"/>
  </x:cols>
  <x:sheetData>
    <x:row r="1" ht="30" customHeight="1">
      <x:c r="A1" s="4" t="str">
        <x:v>Матрица стратегических возможностей</x:v>
      </x:c>
      <x:c r="B1" s="4" t="str">
        <x:v>Матрица стратегических возможностей</x:v>
      </x:c>
      <x:c r="C1" s="4" t="str">
        <x:v>Матрица стратегических возможностей</x:v>
      </x:c>
      <x:c r="D1" s="4" t="str">
        <x:v>Матрица стратегических возможностей</x:v>
      </x:c>
      <x:c r="E1" s="4" t="str">
        <x:v>Матрица стратегических возможностей</x:v>
      </x:c>
      <x:c r="F1" s="4" t="str">
        <x:v>Матрица стратегических возможностей</x:v>
      </x:c>
      <x:c r="G1" s="4" t="str">
        <x:v>Матрица стратегических возможностей</x:v>
      </x:c>
      <x:c r="H1" s="4" t="str">
        <x:v>Матрица стратегических возможностей</x:v>
      </x:c>
      <x:c r="I1" s="4" t="str">
        <x:v>Матрица стратегических возможностей</x:v>
      </x:c>
      <x:c r="J1" s="4" t="str">
        <x:v>Матрица стратегических возможностей</x:v>
      </x:c>
      <x:c r="K1" s="4" t="str">
        <x:v>Матрица стратегических возможностей</x:v>
      </x:c>
      <x:c r="L1" s="4" t="str">
        <x:v>Матрица стратегических возможностей</x:v>
      </x:c>
      <x:c r="M1" s="4" t="str">
        <x:v>Матрица стратегических возможностей</x:v>
      </x:c>
      <x:c r="N1" s="4" t="str">
        <x:v>Матрица стратегических возможностей</x:v>
      </x:c>
      <x:c r="O1" s="4" t="str">
        <x:v>Матрица стратегических возможностей</x:v>
      </x:c>
      <x:c r="P1" s="4" t="str">
        <x:v>Матрица стратегических возможностей</x:v>
      </x:c>
      <x:c r="Q1" s="4" t="str">
        <x:v>Матрица стратегических возможностей</x:v>
      </x:c>
    </x:row>
    <x:row r="2" ht="32" customHeight="1">
      <x:c r="A2" s="8" t="str">
        <x:v>Оценки 1–10. Среднее не отменяет фатальный фактор: направление получает инвестиционный допуск только после указанного доказательства.</x:v>
      </x:c>
      <x:c r="B2" s="8" t="str">
        <x:v>Оценки 1–10. Среднее не отменяет фатальный фактор: направление получает инвестиционный допуск только после указанного доказательства.</x:v>
      </x:c>
      <x:c r="C2" s="8" t="str">
        <x:v>Оценки 1–10. Среднее не отменяет фатальный фактор: направление получает инвестиционный допуск только после указанного доказательства.</x:v>
      </x:c>
      <x:c r="D2" s="8" t="str">
        <x:v>Оценки 1–10. Среднее не отменяет фатальный фактор: направление получает инвестиционный допуск только после указанного доказательства.</x:v>
      </x:c>
      <x:c r="E2" s="8" t="str">
        <x:v>Оценки 1–10. Среднее не отменяет фатальный фактор: направление получает инвестиционный допуск только после указанного доказательства.</x:v>
      </x:c>
      <x:c r="F2" s="8" t="str">
        <x:v>Оценки 1–10. Среднее не отменяет фатальный фактор: направление получает инвестиционный допуск только после указанного доказательства.</x:v>
      </x:c>
      <x:c r="G2" s="8" t="str">
        <x:v>Оценки 1–10. Среднее не отменяет фатальный фактор: направление получает инвестиционный допуск только после указанного доказательства.</x:v>
      </x:c>
      <x:c r="H2" s="8" t="str">
        <x:v>Оценки 1–10. Среднее не отменяет фатальный фактор: направление получает инвестиционный допуск только после указанного доказательства.</x:v>
      </x:c>
      <x:c r="I2" s="8" t="str">
        <x:v>Оценки 1–10. Среднее не отменяет фатальный фактор: направление получает инвестиционный допуск только после указанного доказательства.</x:v>
      </x:c>
      <x:c r="J2" s="8" t="str">
        <x:v>Оценки 1–10. Среднее не отменяет фатальный фактор: направление получает инвестиционный допуск только после указанного доказательства.</x:v>
      </x:c>
      <x:c r="K2" s="8" t="str">
        <x:v>Оценки 1–10. Среднее не отменяет фатальный фактор: направление получает инвестиционный допуск только после указанного доказательства.</x:v>
      </x:c>
      <x:c r="L2" s="8" t="str">
        <x:v>Оценки 1–10. Среднее не отменяет фатальный фактор: направление получает инвестиционный допуск только после указанного доказательства.</x:v>
      </x:c>
      <x:c r="M2" s="8" t="str">
        <x:v>Оценки 1–10. Среднее не отменяет фатальный фактор: направление получает инвестиционный допуск только после указанного доказательства.</x:v>
      </x:c>
      <x:c r="N2" s="8" t="str">
        <x:v>Оценки 1–10. Среднее не отменяет фатальный фактор: направление получает инвестиционный допуск только после указанного доказательства.</x:v>
      </x:c>
      <x:c r="O2" s="8" t="str">
        <x:v>Оценки 1–10. Среднее не отменяет фатальный фактор: направление получает инвестиционный допуск только после указанного доказательства.</x:v>
      </x:c>
      <x:c r="P2" s="8" t="str">
        <x:v>Оценки 1–10. Среднее не отменяет фатальный фактор: направление получает инвестиционный допуск только после указанного доказательства.</x:v>
      </x:c>
      <x:c r="Q2" s="8" t="str">
        <x:v>Оценки 1–10. Среднее не отменяет фатальный фактор: направление получает инвестиционный допуск только после указанного доказательства.</x:v>
      </x:c>
    </x:row>
    <x:row r="4" ht="30" customHeight="1">
      <x:c r="A4" s="14" t="str">
        <x:v>initiative</x:v>
      </x:c>
      <x:c r="B4" s="14" t="str">
        <x:v>status</x:v>
      </x:c>
      <x:c r="C4" s="14" t="str">
        <x:v>market</x:v>
      </x:c>
      <x:c r="D4" s="14" t="str">
        <x:v>pain</x:v>
      </x:c>
      <x:c r="E4" s="14" t="str">
        <x:v>willingness_to_pay</x:v>
      </x:c>
      <x:c r="F4" s="14" t="str">
        <x:v>margin</x:v>
      </x:c>
      <x:c r="G4" s="14" t="str">
        <x:v>low_start_investment</x:v>
      </x:c>
      <x:c r="H4" s="14" t="str">
        <x:v>fast_test</x:v>
      </x:c>
      <x:c r="I4" s="14" t="str">
        <x:v>operational_simplicity</x:v>
      </x:c>
      <x:c r="J4" s="14" t="str">
        <x:v>low_regulatory_risk</x:v>
      </x:c>
      <x:c r="K4" s="14" t="str">
        <x:v>defensibility</x:v>
      </x:c>
      <x:c r="L4" s="14" t="str">
        <x:v>arthello_fit</x:v>
      </x:c>
      <x:c r="M4" s="14" t="str">
        <x:v>scalability</x:v>
      </x:c>
      <x:c r="N4" s="14" t="str">
        <x:v>owner_independence</x:v>
      </x:c>
      <x:c r="O4" s="14" t="str">
        <x:v>fatal_factor</x:v>
      </x:c>
      <x:c r="P4" s="14" t="str">
        <x:v>next_proof</x:v>
      </x:c>
      <x:c r="Q4" s="14" t="str">
        <x:v>mean score</x:v>
      </x:c>
      <x:c r="R4" s="14" t="str">
        <x:v>investment gate</x:v>
      </x:c>
    </x:row>
    <x:row r="5">
      <x:c r="A5" s="18" t="str">
        <x:v>Сад Atlas — оздоровить ядро</x:v>
      </x:c>
      <x:c r="B5" s="18" t="str">
        <x:v>REVISE</x:v>
      </x:c>
      <x:c r="C5" s="48" t="n">
        <x:v>5</x:v>
      </x:c>
      <x:c r="D5" s="48" t="n">
        <x:v>9</x:v>
      </x:c>
      <x:c r="E5" s="48" t="n">
        <x:v>8</x:v>
      </x:c>
      <x:c r="F5" s="48" t="n">
        <x:v>3</x:v>
      </x:c>
      <x:c r="G5" s="48" t="n">
        <x:v>7</x:v>
      </x:c>
      <x:c r="H5" s="48" t="n">
        <x:v>8</x:v>
      </x:c>
      <x:c r="I5" s="48" t="n">
        <x:v>2</x:v>
      </x:c>
      <x:c r="J5" s="48" t="n">
        <x:v>4</x:v>
      </x:c>
      <x:c r="K5" s="48" t="n">
        <x:v>6</x:v>
      </x:c>
      <x:c r="L5" s="48" t="n">
        <x:v>9</x:v>
      </x:c>
      <x:c r="M5" s="48" t="n">
        <x:v>3</x:v>
      </x:c>
      <x:c r="N5" s="48" t="n">
        <x:v>3</x:v>
      </x:c>
      <x:c r="O5" s="25" t="str">
        <x:v>Фактическая маржа и удержание не доказаны</x:v>
      </x:c>
      <x:c r="P5" s="18" t="str">
        <x:v>Сверить 8 недель оплат, ФОТ, питания, аренды и оттока по группам</x:v>
      </x:c>
      <x:c r="Q5" s="49" t="n">
        <x:f>AVERAGE(C5:N5)</x:f>
        <x:v>5.583333333333333</x:v>
      </x:c>
      <x:c r="R5" s="45" t="str">
        <x:f>IF(B5="STOP","STOP",IF(B5="GO","TEST GATE","PROVE FIRST"))</x:f>
        <x:v>PROVE FIRST</x:v>
      </x:c>
    </x:row>
    <x:row r="6">
      <x:c r="A6" s="18" t="str">
        <x:v>Начальная школа Atlas — оздоровить ядро</x:v>
      </x:c>
      <x:c r="B6" s="18" t="str">
        <x:v>REVISE</x:v>
      </x:c>
      <x:c r="C6" s="48" t="n">
        <x:v>6</x:v>
      </x:c>
      <x:c r="D6" s="48" t="n">
        <x:v>8</x:v>
      </x:c>
      <x:c r="E6" s="48" t="n">
        <x:v>7</x:v>
      </x:c>
      <x:c r="F6" s="48" t="n">
        <x:v>4</x:v>
      </x:c>
      <x:c r="G6" s="48" t="n">
        <x:v>7</x:v>
      </x:c>
      <x:c r="H6" s="48" t="n">
        <x:v>7</x:v>
      </x:c>
      <x:c r="I6" s="48" t="n">
        <x:v>3</x:v>
      </x:c>
      <x:c r="J6" s="48" t="n">
        <x:v>3</x:v>
      </x:c>
      <x:c r="K6" s="48" t="n">
        <x:v>6</x:v>
      </x:c>
      <x:c r="L6" s="48" t="n">
        <x:v>8</x:v>
      </x:c>
      <x:c r="M6" s="48" t="n">
        <x:v>4</x:v>
      </x:c>
      <x:c r="N6" s="48" t="n">
        <x:v>3</x:v>
      </x:c>
      <x:c r="O6" s="18" t="str">
        <x:v>Экономика и академический результат не доказаны</x:v>
      </x:c>
      <x:c r="P6" s="18" t="str">
        <x:v>Когортный P&amp;L и baseline/progress по чтению и математике</x:v>
      </x:c>
      <x:c r="Q6" s="49" t="n">
        <x:f>AVERAGE(C6:N6)</x:f>
        <x:v>5.5</x:v>
      </x:c>
      <x:c r="R6" s="45" t="str">
        <x:f>IF(B6="STOP","STOP",IF(B6="GO","TEST GATE","PROVE FIRST"))</x:f>
        <x:v>PROVE FIRST</x:v>
      </x:c>
    </x:row>
    <x:row r="7">
      <x:c r="A7" s="18" t="str">
        <x:v>«Лиственный» как районный family-hub</x:v>
      </x:c>
      <x:c r="B7" s="18" t="str">
        <x:v>GO</x:v>
      </x:c>
      <x:c r="C7" s="48" t="n">
        <x:v>7</x:v>
      </x:c>
      <x:c r="D7" s="48" t="n">
        <x:v>8</x:v>
      </x:c>
      <x:c r="E7" s="48" t="n">
        <x:v>6</x:v>
      </x:c>
      <x:c r="F7" s="48" t="n">
        <x:v>7</x:v>
      </x:c>
      <x:c r="G7" s="48" t="n">
        <x:v>8</x:v>
      </x:c>
      <x:c r="H7" s="48" t="n">
        <x:v>9</x:v>
      </x:c>
      <x:c r="I7" s="48" t="n">
        <x:v>6</x:v>
      </x:c>
      <x:c r="J7" s="48" t="n">
        <x:v>6</x:v>
      </x:c>
      <x:c r="K7" s="48" t="n">
        <x:v>5</x:v>
      </x:c>
      <x:c r="L7" s="48" t="n">
        <x:v>9</x:v>
      </x:c>
      <x:c r="M7" s="48" t="n">
        <x:v>7</x:v>
      </x:c>
      <x:c r="N7" s="48" t="n">
        <x:v>6</x:v>
      </x:c>
      <x:c r="O7" s="25" t="str">
        <x:v>Нет фатального фактора при использовании существующей площади</x:v>
      </x:c>
      <x:c r="P7" s="18" t="str">
        <x:v>Три платных пакета и загрузка расписания на 8 недель</x:v>
      </x:c>
      <x:c r="Q7" s="49" t="n">
        <x:f>AVERAGE(C7:N7)</x:f>
        <x:v>7</x:v>
      </x:c>
      <x:c r="R7" s="45" t="str">
        <x:f>IF(B7="STOP","STOP",IF(B7="GO","TEST GATE","PROVE FIRST"))</x:f>
        <x:v>TEST GATE</x:v>
      </x:c>
    </x:row>
    <x:row r="8">
      <x:c r="A8" s="18" t="str">
        <x:v>ArtHello После школы: Projects 6–10</x:v>
      </x:c>
      <x:c r="B8" s="18" t="str">
        <x:v>GO</x:v>
      </x:c>
      <x:c r="C8" s="48" t="n">
        <x:v>8</x:v>
      </x:c>
      <x:c r="D8" s="48" t="n">
        <x:v>9</x:v>
      </x:c>
      <x:c r="E8" s="48" t="n">
        <x:v>7</x:v>
      </x:c>
      <x:c r="F8" s="48" t="n">
        <x:v>7</x:v>
      </x:c>
      <x:c r="G8" s="48" t="n">
        <x:v>8</x:v>
      </x:c>
      <x:c r="H8" s="48" t="n">
        <x:v>8</x:v>
      </x:c>
      <x:c r="I8" s="48" t="n">
        <x:v>5</x:v>
      </x:c>
      <x:c r="J8" s="48" t="n">
        <x:v>6</x:v>
      </x:c>
      <x:c r="K8" s="48" t="n">
        <x:v>7</x:v>
      </x:c>
      <x:c r="L8" s="48" t="n">
        <x:v>9</x:v>
      </x:c>
      <x:c r="M8" s="48" t="n">
        <x:v>8</x:v>
      </x:c>
      <x:c r="N8" s="48" t="n">
        <x:v>7</x:v>
      </x:c>
      <x:c r="O8" s="18" t="str">
        <x:v>Нужно доказать продление, а не только первый платёж</x:v>
      </x:c>
      <x:c r="P8" s="18" t="str">
        <x:v>Порог запуска 16 оплат; цель 20; завершение ≥85%; продление ≥60%; вклад ≥25%</x:v>
      </x:c>
      <x:c r="Q8" s="49" t="n">
        <x:f>AVERAGE(C8:N8)</x:f>
        <x:v>7.416666666666667</x:v>
      </x:c>
      <x:c r="R8" s="45" t="str">
        <x:f>IF(B8="STOP","STOP",IF(B8="GO","TEST GATE","PROVE FIRST"))</x:f>
        <x:v>TEST GATE</x:v>
      </x:c>
    </x:row>
    <x:row r="9">
      <x:c r="A9" s="18" t="str">
        <x:v>Лагеря и сезонные программы на существующих площадях</x:v>
      </x:c>
      <x:c r="B9" s="18" t="str">
        <x:v>GO</x:v>
      </x:c>
      <x:c r="C9" s="48" t="n">
        <x:v>7</x:v>
      </x:c>
      <x:c r="D9" s="48" t="n">
        <x:v>8</x:v>
      </x:c>
      <x:c r="E9" s="48" t="n">
        <x:v>7</x:v>
      </x:c>
      <x:c r="F9" s="48" t="n">
        <x:v>7</x:v>
      </x:c>
      <x:c r="G9" s="48" t="n">
        <x:v>9</x:v>
      </x:c>
      <x:c r="H9" s="48" t="n">
        <x:v>10</x:v>
      </x:c>
      <x:c r="I9" s="48" t="n">
        <x:v>6</x:v>
      </x:c>
      <x:c r="J9" s="48" t="n">
        <x:v>5</x:v>
      </x:c>
      <x:c r="K9" s="48" t="n">
        <x:v>4</x:v>
      </x:c>
      <x:c r="L9" s="48" t="n">
        <x:v>9</x:v>
      </x:c>
      <x:c r="M9" s="48" t="n">
        <x:v>6</x:v>
      </x:c>
      <x:c r="N9" s="48" t="n">
        <x:v>7</x:v>
      </x:c>
      <x:c r="O9" s="18" t="str">
        <x:v>Сезонность и качество вожатых</x:v>
      </x:c>
      <x:c r="P9" s="18" t="str">
        <x:v>Две смены с вкладом ≥35% и повторной покупкой ≥25%</x:v>
      </x:c>
      <x:c r="Q9" s="49" t="n">
        <x:f>AVERAGE(C9:N9)</x:f>
        <x:v>7.083333333333333</x:v>
      </x:c>
      <x:c r="R9" s="45" t="str">
        <x:f>IF(B9="STOP","STOP",IF(B9="GO","TEST GATE","PROVE FIRST"))</x:f>
        <x:v>TEST GATE</x:v>
      </x:c>
    </x:row>
    <x:row r="10">
      <x:c r="A10" s="18" t="str">
        <x:v>Проектная лаборатория / soft skills 8–14</x:v>
      </x:c>
      <x:c r="B10" s="18" t="str">
        <x:v>REVISE</x:v>
      </x:c>
      <x:c r="C10" s="48" t="n">
        <x:v>7</x:v>
      </x:c>
      <x:c r="D10" s="48" t="n">
        <x:v>7</x:v>
      </x:c>
      <x:c r="E10" s="48" t="n">
        <x:v>6</x:v>
      </x:c>
      <x:c r="F10" s="48" t="n">
        <x:v>7</x:v>
      </x:c>
      <x:c r="G10" s="48" t="n">
        <x:v>8</x:v>
      </x:c>
      <x:c r="H10" s="48" t="n">
        <x:v>9</x:v>
      </x:c>
      <x:c r="I10" s="48" t="n">
        <x:v>6</x:v>
      </x:c>
      <x:c r="J10" s="48" t="n">
        <x:v>7</x:v>
      </x:c>
      <x:c r="K10" s="48" t="n">
        <x:v>5</x:v>
      </x:c>
      <x:c r="L10" s="48" t="n">
        <x:v>8</x:v>
      </x:c>
      <x:c r="M10" s="48" t="n">
        <x:v>7</x:v>
      </x:c>
      <x:c r="N10" s="48" t="n">
        <x:v>7</x:v>
      </x:c>
      <x:c r="O10" s="18" t="str">
        <x:v>Спрос на красивый формат может не превращаться в продление</x:v>
      </x:c>
      <x:c r="P10" s="18" t="str">
        <x:v>Платный 4-недельный спринт и демонстрация результата</x:v>
      </x:c>
      <x:c r="Q10" s="49" t="n">
        <x:f>AVERAGE(C10:N10)</x:f>
        <x:v>7</x:v>
      </x:c>
      <x:c r="R10" s="45" t="str">
        <x:f>IF(B10="STOP","STOP",IF(B10="GO","TEST GATE","PROVE FIRST"))</x:f>
        <x:v>PROVE FIRST</x:v>
      </x:c>
    </x:row>
    <x:row r="11">
      <x:c r="A11" s="18" t="str">
        <x:v>Билингвальный модуль / сильный английский</x:v>
      </x:c>
      <x:c r="B11" s="18" t="str">
        <x:v>REVISE</x:v>
      </x:c>
      <x:c r="C11" s="48" t="n">
        <x:v>6</x:v>
      </x:c>
      <x:c r="D11" s="48" t="n">
        <x:v>6</x:v>
      </x:c>
      <x:c r="E11" s="48" t="n">
        <x:v>7</x:v>
      </x:c>
      <x:c r="F11" s="48" t="n">
        <x:v>7</x:v>
      </x:c>
      <x:c r="G11" s="48" t="n">
        <x:v>8</x:v>
      </x:c>
      <x:c r="H11" s="48" t="n">
        <x:v>9</x:v>
      </x:c>
      <x:c r="I11" s="48" t="n">
        <x:v>6</x:v>
      </x:c>
      <x:c r="J11" s="48" t="n">
        <x:v>7</x:v>
      </x:c>
      <x:c r="K11" s="48" t="n">
        <x:v>4</x:v>
      </x:c>
      <x:c r="L11" s="48" t="n">
        <x:v>7</x:v>
      </x:c>
      <x:c r="M11" s="48" t="n">
        <x:v>7</x:v>
      </x:c>
      <x:c r="N11" s="48" t="n">
        <x:v>8</x:v>
      </x:c>
      <x:c r="O11" s="18" t="str">
        <x:v>Легко копируется и часто продаётся обещанием без результата</x:v>
      </x:c>
      <x:c r="P11" s="18" t="str">
        <x:v>Пилот с входной/выходной диагностикой и валовой маржой ≥55%</x:v>
      </x:c>
      <x:c r="Q11" s="49" t="n">
        <x:f>AVERAGE(C11:N11)</x:f>
        <x:v>6.833333333333333</x:v>
      </x:c>
      <x:c r="R11" s="45" t="str">
        <x:f>IF(B11="STOP","STOP",IF(B11="GO","TEST GATE","PROVE FIRST"))</x:f>
        <x:v>PROVE FIRST</x:v>
      </x:c>
    </x:row>
    <x:row r="12">
      <x:c r="A12" s="18" t="str">
        <x:v>Цифровая прозрачность для родителей как внутренний слой</x:v>
      </x:c>
      <x:c r="B12" s="18" t="str">
        <x:v>GO</x:v>
      </x:c>
      <x:c r="C12" s="48" t="n">
        <x:v>6</x:v>
      </x:c>
      <x:c r="D12" s="48" t="n">
        <x:v>8</x:v>
      </x:c>
      <x:c r="E12" s="48" t="n">
        <x:v>6</x:v>
      </x:c>
      <x:c r="F12" s="48" t="n">
        <x:v>8</x:v>
      </x:c>
      <x:c r="G12" s="48" t="n">
        <x:v>7</x:v>
      </x:c>
      <x:c r="H12" s="48" t="n">
        <x:v>7</x:v>
      </x:c>
      <x:c r="I12" s="48" t="n">
        <x:v>6</x:v>
      </x:c>
      <x:c r="J12" s="48" t="n">
        <x:v>5</x:v>
      </x:c>
      <x:c r="K12" s="48" t="n">
        <x:v>7</x:v>
      </x:c>
      <x:c r="L12" s="48" t="n">
        <x:v>9</x:v>
      </x:c>
      <x:c r="M12" s="48" t="n">
        <x:v>9</x:v>
      </x:c>
      <x:c r="N12" s="48" t="n">
        <x:v>7</x:v>
      </x:c>
      <x:c r="O12" s="18" t="str">
        <x:v>Данные-источники пока ненадёжны</x:v>
      </x:c>
      <x:c r="P12" s="18" t="str">
        <x:v>Ручной weekly progress report для 30 семей; NPS/продление</x:v>
      </x:c>
      <x:c r="Q12" s="49" t="n">
        <x:f>AVERAGE(C12:N12)</x:f>
        <x:v>7.083333333333333</x:v>
      </x:c>
      <x:c r="R12" s="45" t="str">
        <x:f>IF(B12="STOP","STOP",IF(B12="GO","TEST GATE","PROVE FIRST"))</x:f>
        <x:v>TEST GATE</x:v>
      </x:c>
    </x:row>
    <x:row r="13">
      <x:c r="A13" s="18" t="str">
        <x:v>ArtHello OS как самостоятельный B2B SaaS</x:v>
      </x:c>
      <x:c r="B13" s="18" t="str">
        <x:v>REVISE</x:v>
      </x:c>
      <x:c r="C13" s="48" t="n">
        <x:v>6</x:v>
      </x:c>
      <x:c r="D13" s="48" t="n">
        <x:v>7</x:v>
      </x:c>
      <x:c r="E13" s="48" t="n">
        <x:v>4</x:v>
      </x:c>
      <x:c r="F13" s="48" t="n">
        <x:v>8</x:v>
      </x:c>
      <x:c r="G13" s="48" t="n">
        <x:v>5</x:v>
      </x:c>
      <x:c r="H13" s="48" t="n">
        <x:v>5</x:v>
      </x:c>
      <x:c r="I13" s="48" t="n">
        <x:v>6</x:v>
      </x:c>
      <x:c r="J13" s="48" t="n">
        <x:v>5</x:v>
      </x:c>
      <x:c r="K13" s="48" t="n">
        <x:v>6</x:v>
      </x:c>
      <x:c r="L13" s="48" t="n">
        <x:v>6</x:v>
      </x:c>
      <x:c r="M13" s="48" t="n">
        <x:v>9</x:v>
      </x:c>
      <x:c r="N13" s="48" t="n">
        <x:v>3</x:v>
      </x:c>
      <x:c r="O13" s="18" t="str">
        <x:v>Нет внешнего доказательства платёжеспособного спроса; высокий owner-dependency</x:v>
      </x:c>
      <x:c r="P13" s="18" t="str">
        <x:v>3 платных дизайн-партнёра после стабилизации внутреннего контура</x:v>
      </x:c>
      <x:c r="Q13" s="49" t="n">
        <x:f>AVERAGE(C13:N13)</x:f>
        <x:v>5.833333333333333</x:v>
      </x:c>
      <x:c r="R13" s="45" t="str">
        <x:f>IF(B13="STOP","STOP",IF(B13="GO","TEST GATE","PROVE FIRST"))</x:f>
        <x:v>PROVE FIRST</x:v>
      </x:c>
    </x:row>
    <x:row r="14">
      <x:c r="A14" s="18" t="str">
        <x:v>Employer-sponsored childcare без нового объекта</x:v>
      </x:c>
      <x:c r="B14" s="18" t="str">
        <x:v>REVISE</x:v>
      </x:c>
      <x:c r="C14" s="48" t="n">
        <x:v>5</x:v>
      </x:c>
      <x:c r="D14" s="48" t="n">
        <x:v>8</x:v>
      </x:c>
      <x:c r="E14" s="48" t="n">
        <x:v>5</x:v>
      </x:c>
      <x:c r="F14" s="48" t="n">
        <x:v>5</x:v>
      </x:c>
      <x:c r="G14" s="48" t="n">
        <x:v>7</x:v>
      </x:c>
      <x:c r="H14" s="48" t="n">
        <x:v>5</x:v>
      </x:c>
      <x:c r="I14" s="48" t="n">
        <x:v>4</x:v>
      </x:c>
      <x:c r="J14" s="48" t="n">
        <x:v>4</x:v>
      </x:c>
      <x:c r="K14" s="48" t="n">
        <x:v>7</x:v>
      </x:c>
      <x:c r="L14" s="48" t="n">
        <x:v>7</x:v>
      </x:c>
      <x:c r="M14" s="48" t="n">
        <x:v>6</x:v>
      </x:c>
      <x:c r="N14" s="48" t="n">
        <x:v>5</x:v>
      </x:c>
      <x:c r="O14" s="18" t="str">
        <x:v>Длинный B2B цикл и неясный бюджет работодателя</x:v>
      </x:c>
      <x:c r="P14" s="18" t="str">
        <x:v>1 оплачиваемый корпоративный пакет мест, без CAPEX</x:v>
      </x:c>
      <x:c r="Q14" s="49" t="n">
        <x:f>AVERAGE(C14:N14)</x:f>
        <x:v>5.666666666666667</x:v>
      </x:c>
      <x:c r="R14" s="45" t="str">
        <x:f>IF(B14="STOP","STOP",IF(B14="GO","TEST GATE","PROVE FIRST"))</x:f>
        <x:v>PROVE FIRST</x:v>
      </x:c>
    </x:row>
    <x:row r="15">
      <x:c r="A15" s="18" t="str">
        <x:v>Инклюзия / нейроразнообразие</x:v>
      </x:c>
      <x:c r="B15" s="18" t="str">
        <x:v>REVISE</x:v>
      </x:c>
      <x:c r="C15" s="48" t="n">
        <x:v>8</x:v>
      </x:c>
      <x:c r="D15" s="48" t="n">
        <x:v>10</x:v>
      </x:c>
      <x:c r="E15" s="48" t="n">
        <x:v>8</x:v>
      </x:c>
      <x:c r="F15" s="48" t="n">
        <x:v>6</x:v>
      </x:c>
      <x:c r="G15" s="48" t="n">
        <x:v>6</x:v>
      </x:c>
      <x:c r="H15" s="48" t="n">
        <x:v>5</x:v>
      </x:c>
      <x:c r="I15" s="48" t="n">
        <x:v>2</x:v>
      </x:c>
      <x:c r="J15" s="48" t="n">
        <x:v>2</x:v>
      </x:c>
      <x:c r="K15" s="48" t="n">
        <x:v>7</x:v>
      </x:c>
      <x:c r="L15" s="48" t="n">
        <x:v>4</x:v>
      </x:c>
      <x:c r="M15" s="48" t="n">
        <x:v>4</x:v>
      </x:c>
      <x:c r="N15" s="48" t="n">
        <x:v>4</x:v>
      </x:c>
      <x:c r="O15" s="18" t="str">
        <x:v>Недостаток подтверждённых клинических компетенций создаёт риск безопасности</x:v>
      </x:c>
      <x:c r="P15" s="18" t="str">
        <x:v>Только партнёрский диагностико-консультационный MVP с профильным руководителем</x:v>
      </x:c>
      <x:c r="Q15" s="49" t="n">
        <x:f>AVERAGE(C15:N15)</x:f>
        <x:v>5.5</x:v>
      </x:c>
      <x:c r="R15" s="45" t="str">
        <x:f>IF(B15="STOP","STOP",IF(B15="GO","TEST GATE","PROVE FIRST"))</x:f>
        <x:v>PROVE FIRST</x:v>
      </x:c>
    </x:row>
    <x:row r="16">
      <x:c r="A16" s="18" t="str">
        <x:v>Физическая школа 1–11 с полным CAPEX</x:v>
      </x:c>
      <x:c r="B16" s="18" t="str">
        <x:v>STOP</x:v>
      </x:c>
      <x:c r="C16" s="48" t="n">
        <x:v>7</x:v>
      </x:c>
      <x:c r="D16" s="48" t="n">
        <x:v>8</x:v>
      </x:c>
      <x:c r="E16" s="48" t="n">
        <x:v>7</x:v>
      </x:c>
      <x:c r="F16" s="48" t="n">
        <x:v>3</x:v>
      </x:c>
      <x:c r="G16" s="48" t="n">
        <x:v>1</x:v>
      </x:c>
      <x:c r="H16" s="48" t="n">
        <x:v>2</x:v>
      </x:c>
      <x:c r="I16" s="48" t="n">
        <x:v>1</x:v>
      </x:c>
      <x:c r="J16" s="48" t="n">
        <x:v>2</x:v>
      </x:c>
      <x:c r="K16" s="48" t="n">
        <x:v>6</x:v>
      </x:c>
      <x:c r="L16" s="48" t="n">
        <x:v>6</x:v>
      </x:c>
      <x:c r="M16" s="48" t="n">
        <x:v>2</x:v>
      </x:c>
      <x:c r="N16" s="48" t="n">
        <x:v>1</x:v>
      </x:c>
      <x:c r="O16" s="18" t="str">
        <x:v>Сломанная финмодель, не доказана экономика ядра и нужен большой капитал</x:v>
      </x:c>
      <x:c r="P16" s="18" t="str">
        <x:v>Не инвестировать до 6 месяцев подтверждённой маржи существующей школы</x:v>
      </x:c>
      <x:c r="Q16" s="49" t="n">
        <x:f>AVERAGE(C16:N16)</x:f>
        <x:v>3.8333333333333335</x:v>
      </x:c>
      <x:c r="R16" s="45" t="str">
        <x:f>IF(B16="STOP","STOP",IF(B16="GO","TEST GATE","PROVE FIRST"))</x:f>
        <x:v>STOP</x:v>
      </x:c>
    </x:row>
    <x:row r="17">
      <x:c r="A17" s="18" t="str">
        <x:v>Франшиза ArtHello</x:v>
      </x:c>
      <x:c r="B17" s="18" t="str">
        <x:v>STOP</x:v>
      </x:c>
      <x:c r="C17" s="48" t="n">
        <x:v>6</x:v>
      </x:c>
      <x:c r="D17" s="48" t="n">
        <x:v>4</x:v>
      </x:c>
      <x:c r="E17" s="48" t="n">
        <x:v>5</x:v>
      </x:c>
      <x:c r="F17" s="48" t="n">
        <x:v>7</x:v>
      </x:c>
      <x:c r="G17" s="48" t="n">
        <x:v>8</x:v>
      </x:c>
      <x:c r="H17" s="48" t="n">
        <x:v>6</x:v>
      </x:c>
      <x:c r="I17" s="48" t="n">
        <x:v>2</x:v>
      </x:c>
      <x:c r="J17" s="48" t="n">
        <x:v>4</x:v>
      </x:c>
      <x:c r="K17" s="48" t="n">
        <x:v>5</x:v>
      </x:c>
      <x:c r="L17" s="48" t="n">
        <x:v>5</x:v>
      </x:c>
      <x:c r="M17" s="48" t="n">
        <x:v>8</x:v>
      </x:c>
      <x:c r="N17" s="48" t="n">
        <x:v>2</x:v>
      </x:c>
      <x:c r="O17" s="18" t="str">
        <x:v>Нельзя тиражировать недоказанную экономику и нестабильные стандарты качества</x:v>
      </x:c>
      <x:c r="P17" s="18" t="str">
        <x:v>Вернуться после 12 месяцев повторяемой маржи и аудита качества</x:v>
      </x:c>
      <x:c r="Q17" s="49" t="n">
        <x:f>AVERAGE(C17:N17)</x:f>
        <x:v>5.166666666666667</x:v>
      </x:c>
      <x:c r="R17" s="45" t="str">
        <x:f>IF(B17="STOP","STOP",IF(B17="GO","TEST GATE","PROVE FIRST"))</x:f>
        <x:v>STOP</x:v>
      </x:c>
    </x:row>
    <x:row r="18">
      <x:c r="A18" s="18" t="str">
        <x:v>Generic онлайн-школа</x:v>
      </x:c>
      <x:c r="B18" s="18" t="str">
        <x:v>STOP</x:v>
      </x:c>
      <x:c r="C18" s="48" t="n">
        <x:v>8</x:v>
      </x:c>
      <x:c r="D18" s="48" t="n">
        <x:v>6</x:v>
      </x:c>
      <x:c r="E18" s="48" t="n">
        <x:v>4</x:v>
      </x:c>
      <x:c r="F18" s="48" t="n">
        <x:v>6</x:v>
      </x:c>
      <x:c r="G18" s="48" t="n">
        <x:v>5</x:v>
      </x:c>
      <x:c r="H18" s="48" t="n">
        <x:v>6</x:v>
      </x:c>
      <x:c r="I18" s="48" t="n">
        <x:v>5</x:v>
      </x:c>
      <x:c r="J18" s="48" t="n">
        <x:v>5</x:v>
      </x:c>
      <x:c r="K18" s="48" t="n">
        <x:v>1</x:v>
      </x:c>
      <x:c r="L18" s="48" t="n">
        <x:v>4</x:v>
      </x:c>
      <x:c r="M18" s="48" t="n">
        <x:v>9</x:v>
      </x:c>
      <x:c r="N18" s="48" t="n">
        <x:v>5</x:v>
      </x:c>
      <x:c r="O18" s="18" t="str">
        <x:v>Нет защищаемого отличия и подтверждённого канала продаж</x:v>
      </x:c>
      <x:c r="P18" s="18" t="str">
        <x:v>Закрыть/заморозить, если нет платящей когорты с LTV/CAC ≥3</x:v>
      </x:c>
      <x:c r="Q18" s="49" t="n">
        <x:f>AVERAGE(C18:N18)</x:f>
        <x:v>5.333333333333333</x:v>
      </x:c>
      <x:c r="R18" s="45" t="str">
        <x:f>IF(B18="STOP","STOP",IF(B18="GO","TEST GATE","PROVE FIRST"))</x:f>
        <x:v>STOP</x:v>
      </x:c>
    </x:row>
    <x:row r="19">
      <x:c r="A19" s="18" t="str">
        <x:v>Standalone AI-tutor для родителей</x:v>
      </x:c>
      <x:c r="B19" s="18" t="str">
        <x:v>STOP</x:v>
      </x:c>
      <x:c r="C19" s="48" t="n">
        <x:v>9</x:v>
      </x:c>
      <x:c r="D19" s="48" t="n">
        <x:v>6</x:v>
      </x:c>
      <x:c r="E19" s="48" t="n">
        <x:v>4</x:v>
      </x:c>
      <x:c r="F19" s="48" t="n">
        <x:v>8</x:v>
      </x:c>
      <x:c r="G19" s="48" t="n">
        <x:v>4</x:v>
      </x:c>
      <x:c r="H19" s="48" t="n">
        <x:v>6</x:v>
      </x:c>
      <x:c r="I19" s="48" t="n">
        <x:v>7</x:v>
      </x:c>
      <x:c r="J19" s="48" t="n">
        <x:v>5</x:v>
      </x:c>
      <x:c r="K19" s="48" t="n">
        <x:v>2</x:v>
      </x:c>
      <x:c r="L19" s="48" t="n">
        <x:v>4</x:v>
      </x:c>
      <x:c r="M19" s="48" t="n">
        <x:v>10</x:v>
      </x:c>
      <x:c r="N19" s="48" t="n">
        <x:v>5</x:v>
      </x:c>
      <x:c r="O19" s="18" t="str">
        <x:v>Коммодитизация, слабое соответствие текущим компетенциям и нет канала</x:v>
      </x:c>
      <x:c r="P19" s="18" t="str">
        <x:v>Использовать ИИ только внутри продукта педагога/прозрачности</x:v>
      </x:c>
      <x:c r="Q19" s="49" t="n">
        <x:f>AVERAGE(C19:N19)</x:f>
        <x:v>5.833333333333333</x:v>
      </x:c>
      <x:c r="R19" s="45" t="str">
        <x:f>IF(B19="STOP","STOP",IF(B19="GO","TEST GATE","PROVE FIRST"))</x:f>
        <x:v>STOP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7" hidden="0" customWidth="1"/>
    <x:col min="3" max="3" width="11" hidden="0" customWidth="1"/>
    <x:col min="4" max="4" width="28" hidden="0" customWidth="1"/>
    <x:col min="5" max="5" width="48" hidden="0" customWidth="1"/>
    <x:col min="6" max="6" width="60" hidden="0" customWidth="1"/>
    <x:col min="7" max="7" width="15" hidden="0" customWidth="1"/>
    <x:col min="8" max="8" width="28" hidden="0" customWidth="1"/>
    <x:col min="9" max="9" width="42" hidden="0" customWidth="1"/>
    <x:col min="10" max="10" width="42" hidden="0" customWidth="1"/>
    <x:col min="11" max="11" width="42" hidden="0" customWidth="1"/>
    <x:col min="12" max="12" width="48" hidden="0" customWidth="1"/>
    <x:col min="13" max="13" width="60" hidden="0" customWidth="1"/>
  </x:cols>
  <x:sheetData>
    <x:row r="1" ht="30" customHeight="1">
      <x:c r="A1" s="4" t="str">
        <x:v>План экспериментов на 90 дней</x:v>
      </x:c>
      <x:c r="B1" s="4" t="str">
        <x:v>План экспериментов на 90 дней</x:v>
      </x:c>
      <x:c r="C1" s="4" t="str">
        <x:v>План экспериментов на 90 дней</x:v>
      </x:c>
      <x:c r="D1" s="4" t="str">
        <x:v>План экспериментов на 90 дней</x:v>
      </x:c>
      <x:c r="E1" s="4" t="str">
        <x:v>План экспериментов на 90 дней</x:v>
      </x:c>
      <x:c r="F1" s="4" t="str">
        <x:v>План экспериментов на 90 дней</x:v>
      </x:c>
      <x:c r="G1" s="4" t="str">
        <x:v>План экспериментов на 90 дней</x:v>
      </x:c>
      <x:c r="H1" s="4" t="str">
        <x:v>План экспериментов на 90 дней</x:v>
      </x:c>
      <x:c r="I1" s="4" t="str">
        <x:v>План экспериментов на 90 дней</x:v>
      </x:c>
      <x:c r="J1" s="4" t="str">
        <x:v>План экспериментов на 90 дней</x:v>
      </x:c>
      <x:c r="K1" s="4" t="str">
        <x:v>План экспериментов на 90 дней</x:v>
      </x:c>
      <x:c r="L1" s="4" t="str">
        <x:v>План экспериментов на 90 дней</x:v>
      </x:c>
      <x:c r="M1" s="4" t="str">
        <x:v>План экспериментов на 90 дней</x:v>
      </x:c>
    </x:row>
    <x:row r="2" ht="32" customHeight="1">
      <x:c r="A2" s="8" t="str">
        <x:v>Каждое действие имеет бюджет, владельца, метрики 30/90 дней и условие остановки. Новая постоянная площадка в план не входит.</x:v>
      </x:c>
      <x:c r="B2" s="8" t="str">
        <x:v>Каждое действие имеет бюджет, владельца, метрики 30/90 дней и условие остановки. Новая постоянная площадка в план не входит.</x:v>
      </x:c>
      <x:c r="C2" s="8" t="str">
        <x:v>Каждое действие имеет бюджет, владельца, метрики 30/90 дней и условие остановки. Новая постоянная площадка в план не входит.</x:v>
      </x:c>
      <x:c r="D2" s="8" t="str">
        <x:v>Каждое действие имеет бюджет, владельца, метрики 30/90 дней и условие остановки. Новая постоянная площадка в план не входит.</x:v>
      </x:c>
      <x:c r="E2" s="8" t="str">
        <x:v>Каждое действие имеет бюджет, владельца, метрики 30/90 дней и условие остановки. Новая постоянная площадка в план не входит.</x:v>
      </x:c>
      <x:c r="F2" s="8" t="str">
        <x:v>Каждое действие имеет бюджет, владельца, метрики 30/90 дней и условие остановки. Новая постоянная площадка в план не входит.</x:v>
      </x:c>
      <x:c r="G2" s="8" t="str">
        <x:v>Каждое действие имеет бюджет, владельца, метрики 30/90 дней и условие остановки. Новая постоянная площадка в план не входит.</x:v>
      </x:c>
      <x:c r="H2" s="8" t="str">
        <x:v>Каждое действие имеет бюджет, владельца, метрики 30/90 дней и условие остановки. Новая постоянная площадка в план не входит.</x:v>
      </x:c>
      <x:c r="I2" s="8" t="str">
        <x:v>Каждое действие имеет бюджет, владельца, метрики 30/90 дней и условие остановки. Новая постоянная площадка в план не входит.</x:v>
      </x:c>
      <x:c r="J2" s="8" t="str">
        <x:v>Каждое действие имеет бюджет, владельца, метрики 30/90 дней и условие остановки. Новая постоянная площадка в план не входит.</x:v>
      </x:c>
      <x:c r="K2" s="8" t="str">
        <x:v>Каждое действие имеет бюджет, владельца, метрики 30/90 дней и условие остановки. Новая постоянная площадка в план не входит.</x:v>
      </x:c>
      <x:c r="L2" s="8" t="str">
        <x:v>Каждое действие имеет бюджет, владельца, метрики 30/90 дней и условие остановки. Новая постоянная площадка в план не входит.</x:v>
      </x:c>
      <x:c r="M2" s="8" t="str">
        <x:v>Каждое действие имеет бюджет, владельца, метрики 30/90 дней и условие остановки. Новая постоянная площадка в план не входит.</x:v>
      </x:c>
    </x:row>
    <x:row r="4" ht="22" customHeight="1">
      <x:c r="A4" s="41" t="str">
        <x:v>Контроль бюджета</x:v>
      </x:c>
      <x:c r="B4" s="41" t="str">
        <x:v>Контроль бюджета</x:v>
      </x:c>
      <x:c r="C4" s="41" t="str">
        <x:v>Контроль бюджета</x:v>
      </x:c>
      <x:c r="D4" s="41" t="str">
        <x:v>Контроль бюджета</x:v>
      </x:c>
    </x:row>
    <x:row r="5" ht="30" customHeight="1">
      <x:c r="A5" s="14" t="str">
        <x:v>Показатель</x:v>
      </x:c>
      <x:c r="B5" s="14" t="str">
        <x:v>Значение</x:v>
      </x:c>
    </x:row>
    <x:row r="6">
      <x:c r="A6" s="18" t="str">
        <x:v>Суммарный тестовый бюджет</x:v>
      </x:c>
      <x:c r="B6" s="51" t="n">
        <x:f>SUM(G9:G14)</x:f>
        <x:v>1380000</x:v>
      </x:c>
    </x:row>
    <x:row r="8" ht="30" customHeight="1">
      <x:c r="A8" s="14" t="str">
        <x:v>id</x:v>
      </x:c>
      <x:c r="B8" s="14" t="str">
        <x:v>category</x:v>
      </x:c>
      <x:c r="C8" s="14" t="str">
        <x:v>days</x:v>
      </x:c>
      <x:c r="D8" s="14" t="str">
        <x:v>target</x:v>
      </x:c>
      <x:c r="E8" s="14" t="str">
        <x:v>problem_or_opportunity</x:v>
      </x:c>
      <x:c r="F8" s="14" t="str">
        <x:v>action</x:v>
      </x:c>
      <x:c r="G8" s="14" t="str">
        <x:v>budget_rub</x:v>
      </x:c>
      <x:c r="H8" s="14" t="str">
        <x:v>owner</x:v>
      </x:c>
      <x:c r="I8" s="14" t="str">
        <x:v>day30_metric</x:v>
      </x:c>
      <x:c r="J8" s="14" t="str">
        <x:v>day90_metric</x:v>
      </x:c>
      <x:c r="K8" s="14" t="str">
        <x:v>success_condition</x:v>
      </x:c>
      <x:c r="L8" s="14" t="str">
        <x:v>stop_condition</x:v>
      </x:c>
      <x:c r="M8" s="14" t="str">
        <x:v>expected_effect</x:v>
      </x:c>
    </x:row>
    <x:row r="9">
      <x:c r="A9" s="18" t="n">
        <x:v>1</x:v>
      </x:c>
      <x:c r="B9" s="18" t="str">
        <x:v>ИСПРАВИТЬ</x:v>
      </x:c>
      <x:c r="C9" s="18" t="str">
        <x:v>1-30</x:v>
      </x:c>
      <x:c r="D9" s="18" t="str">
        <x:v>Все действующие продукты</x:v>
      </x:c>
      <x:c r="E9" s="18" t="str">
        <x:v>Нет единой доказанной выручки и маржи по продуктам</x:v>
      </x:c>
      <x:c r="F9" s="18" t="str">
        <x:v>Сверить договоры AlfaCRM → начисления → банк → возвраты → ФОТ → прямые расходы; закрыть P&amp;L по саду, школе и центру</x:v>
      </x:c>
      <x:c r="G9" s="43" t="n">
        <x:v>250000</x:v>
      </x:c>
      <x:c r="H9" s="18" t="str">
        <x:v>Финансовый руководитель + владелец данных</x:v>
      </x:c>
      <x:c r="I9" s="18" t="str">
        <x:v>≥95% поступлений сопоставлены договору и продукту</x:v>
      </x:c>
      <x:c r="J9" s="18" t="str">
        <x:v>Три подписанных P&amp;L; дебиторка и cash-gap видны еженедельно</x:v>
      </x:c>
      <x:c r="K9" s="18" t="str">
        <x:v>Расхождение банка и CRM ≤2%; 100% ФОТ распределён</x:v>
      </x:c>
      <x:c r="L9" s="18" t="str">
        <x:v>Если к дню 14 нет доступа к первичным данным — остановить продуктовые инвестиции и эскалировать доступ</x:v>
      </x:c>
      <x:c r="M9" s="18" t="str">
        <x:v>Не обещает новую выручку; предотвращает ошибочные инвестиции и выявляет 5–10% утечек, если они есть</x:v>
      </x:c>
    </x:row>
    <x:row r="10">
      <x:c r="A10" s="18" t="n">
        <x:v>2</x:v>
      </x:c>
      <x:c r="B10" s="18" t="str">
        <x:v>ЗАЩИТИТЬ</x:v>
      </x:c>
      <x:c r="C10" s="18" t="str">
        <x:v>1-60</x:v>
      </x:c>
      <x:c r="D10" s="18" t="str">
        <x:v>Семьи сада и школы</x:v>
      </x:c>
      <x:c r="E10" s="18" t="str">
        <x:v>Отзывы указывают на риск текучести и непредсказуемого качества</x:v>
      </x:c>
      <x:c r="F10" s="18" t="str">
        <x:v>Ввести показатель стабильности взрослого на группу, еженедельный pulse команды, причины ухода семей и сотрудников, SLA ответа руководства</x:v>
      </x:c>
      <x:c r="G10" s="43" t="n">
        <x:v>180000</x:v>
      </x:c>
      <x:c r="H10" s="18" t="str">
        <x:v>Исполнительный директор + HR</x:v>
      </x:c>
      <x:c r="I10" s="18" t="str">
        <x:v>100% групп имеют основную пару взрослых и план замещения; baseline текучести</x:v>
      </x:c>
      <x:c r="J10" s="18" t="str">
        <x:v>Незапланированные замены снижены ≥30%; 90% обращений закрываются ≤2 рабочих дней</x:v>
      </x:c>
      <x:c r="K10" s="18" t="str">
        <x:v>Отток по сервисным причинам снижен ≥20% относительно baseline</x:v>
      </x:c>
      <x:c r="L10" s="18" t="str">
        <x:v>Если нагрузка создаёт отчётность без действий и SLA &lt;70% две недели — упростить контур</x:v>
      </x:c>
      <x:c r="M10" s="18" t="str">
        <x:v>Сохранение 2–4 семей в месяц может защищать 1,3–2,6 млн ₽ годовой договорной выручки при чеке 55 тыс. ₽</x:v>
      </x:c>
    </x:row>
    <x:row r="11">
      <x:c r="A11" s="18" t="n">
        <x:v>3</x:v>
      </x:c>
      <x:c r="B11" s="18" t="str">
        <x:v>ПРОТЕСТИРОВАТЬ</x:v>
      </x:c>
      <x:c r="C11" s="18" t="str">
        <x:v>15-90</x:v>
      </x:c>
      <x:c r="D11" s="18" t="str">
        <x:v>Родители детей 6–10 лет в радиусе 15 минут</x:v>
      </x:c>
      <x:c r="E11" s="18" t="str">
        <x:v>Нужны безопасное время после школы, снижение логистической нагрузки и наблюдаемый результат</x:v>
      </x:c>
      <x:c r="F11" s="18" t="str">
        <x:v>Запустить две группы «ArtHello После школы: Projects»: 3 дня, опциональный блок домашней работы, творческий/STEM/English-проект, защита, портфолио и weekly note</x:v>
      </x:c>
      <x:c r="G11" s="43" t="n">
        <x:v>450000</x:v>
      </x:c>
      <x:c r="H11" s="18" t="str">
        <x:v>Продуктовый руководитель + директор площадки</x:v>
      </x:c>
      <x:c r="I11" s="18" t="str">
        <x:v>Порог запуска ≥16 оплат; цель 20 мест; CAC оплаты ≤12000 ₽</x:v>
      </x:c>
      <x:c r="J11" s="18" t="str">
        <x:v>Завершение ≥85%; платное продление ≥60%; вклад цикла ≥25%</x:v>
      </x:c>
      <x:c r="K11" s="18" t="str">
        <x:v>16+ платящих, NPS ≥50, ни одного критического инцидента, продление ≥60%</x:v>
      </x:c>
      <x:c r="L11" s="18" t="str">
        <x:v>Остановить, если &lt;12 депозитов; вклад &lt;25%; продление &lt;40%; либо критический инцидент безопасности</x:v>
      </x:c>
      <x:c r="M11" s="18" t="str">
        <x:v>При 20 местах × 24900 ₽ — 498 тыс. ₽ MRR; восьминедельный вклад в сценарии 246–396 тыс. ₽ до общеплощадочных расходов</x:v>
      </x:c>
    </x:row>
    <x:row r="12">
      <x:c r="A12" s="18" t="n">
        <x:v>4</x:v>
      </x:c>
      <x:c r="B12" s="18" t="str">
        <x:v>ИСПРАВИТЬ</x:v>
      </x:c>
      <x:c r="C12" s="18" t="str">
        <x:v>1-90</x:v>
      </x:c>
      <x:c r="D12" s="18" t="str">
        <x:v>Лиды сада и школы</x:v>
      </x:c>
      <x:c r="E12" s="18" t="str">
        <x:v>Маркетинг измеряет лиды, но не оплаченные договоры</x:v>
      </x:c>
      <x:c r="F12" s="18" t="str">
        <x:v>Связать UTM/источник → экскурсия → пробный день → договор → первая и третья оплаты; три узких оффера и weekly funnel</x:v>
      </x:c>
      <x:c r="G12" s="43" t="n">
        <x:v>300000</x:v>
      </x:c>
      <x:c r="H12" s="18" t="str">
        <x:v>Маркетинг + продажи + аналитик</x:v>
      </x:c>
      <x:c r="I12" s="18" t="str">
        <x:v>≥90% новых лидов имеют источник; показаны конверсии по этапам</x:v>
      </x:c>
      <x:c r="J12" s="18" t="str">
        <x:v>CAC до третьей оплаты и payback известны по 3 офферам</x:v>
      </x:c>
      <x:c r="K12" s="18" t="str">
        <x:v>Экскурсия из квалифицированного лида ≥35%; show-up ≥70%; договор из состоявшейся экскурсии ≥20%</x:v>
      </x:c>
      <x:c r="L12" s="18" t="str">
        <x:v>Отключить канал после 2 циклов, если CAC превышает 25% валового вклада первого года или нет сквозной атрибуции</x:v>
      </x:c>
      <x:c r="M12" s="25" t="str">
        <x:v>Перераспределение бюджета от лидов без оплат; денежный эффект считать после фактического CAC</x:v>
      </x:c>
    </x:row>
    <x:row r="13">
      <x:c r="A13" s="18" t="n">
        <x:v>5</x:v>
      </x:c>
      <x:c r="B13" s="18" t="str">
        <x:v>ЗАЩИТИТЬ</x:v>
      </x:c>
      <x:c r="C13" s="18" t="str">
        <x:v>15-90</x:v>
      </x:c>
      <x:c r="D13" s="18" t="str">
        <x:v>Действующие и новые семьи</x:v>
      </x:c>
      <x:c r="E13" s="18" t="str">
        <x:v>Результат и качество недостаточно доказаны публично</x:v>
      </x:c>
      <x:c r="F13" s="18" t="str">
        <x:v>Для 30 семей: baseline, 2–3 индивидуальные цели, еженедельный короткий отчёт, 30/60/90 review; на сайте раскрыть методику показателей без данных детей</x:v>
      </x:c>
      <x:c r="G13" s="43" t="n">
        <x:v>200000</x:v>
      </x:c>
      <x:c r="H13" s="18" t="str">
        <x:v>Методист + руководители программ</x:v>
      </x:c>
      <x:c r="I13" s="18" t="str">
        <x:v>30 baseline-карт; ≥80% отчётов отправлены вовремя</x:v>
      </x:c>
      <x:c r="J13" s="18" t="str">
        <x:v>≥70% целей имеют наблюдаемую динамику; продление пилота ≥80%</x:v>
      </x:c>
      <x:c r="K13" s="18" t="str">
        <x:v>Родитель может назвать прогресс; NPS пилота ≥50; обращения «не понимаю результат» снижены ≥30%</x:v>
      </x:c>
      <x:c r="L13" s="18" t="str">
        <x:v>Остановить/пересобрать, если педагог тратит &gt;20 мин/ребёнка в неделю или &lt;60% родителей открывают отчёт</x:v>
      </x:c>
      <x:c r="M13" s="18" t="str">
        <x:v>Защищает продление и создаёт доказуемое обещание вместо рекламных формулировок</x:v>
      </x:c>
    </x:row>
    <x:row r="14">
      <x:c r="A14" s="18" t="n">
        <x:v>6</x:v>
      </x:c>
      <x:c r="B14" s="18" t="str">
        <x:v>ПРЕКРАТИТЬ</x:v>
      </x:c>
      <x:c r="C14" s="18" t="str">
        <x:v>1-90</x:v>
      </x:c>
      <x:c r="D14" s="18" t="str">
        <x:v>Капитал и команда</x:v>
      </x:c>
      <x:c r="E14" s="18" t="str">
        <x:v>Несколько дорогих направлений не имеют доказанной unit-экономики</x:v>
      </x:c>
      <x:c r="F14" s="18" t="str">
        <x:v>Заморозить новый CAPEX школы 1–11, франшизу, generic онлайн-школу и standalone AI-tutor; оставить только дешёвые проверки</x:v>
      </x:c>
      <x:c r="G14" s="43" t="n">
        <x:v>0</x:v>
      </x:c>
      <x:c r="H14" s="18" t="str">
        <x:v>Виталий</x:v>
      </x:c>
      <x:c r="I14" s="18" t="str">
        <x:v>Реестр обязательств и остановленных расходов</x:v>
      </x:c>
      <x:c r="J14" s="18" t="str">
        <x:v>Ни одного нового необратимого обязательства до investment gate</x:v>
      </x:c>
      <x:c r="K14" s="18" t="str">
        <x:v>Решение пересматривается только при 6 месяцах подтверждённой маржи ядра и платных доказательствах нового продукта</x:v>
      </x:c>
      <x:c r="L14" s="18" t="str">
        <x:v>Любая инвестиция без P&amp;L, владельца риска и стоп-критерия автоматически отклоняется</x:v>
      </x:c>
      <x:c r="M14" s="18" t="str">
        <x:v>Сохраняет ликвидность; точный эффект равен предотвращённым обязательствам</x:v>
      </x:c>
    </x:row>
  </x:sheetData>
  <x:mergeCells>
    <x:mergeCell ref="A1:M1"/>
    <x:mergeCell ref="A2:M2"/>
    <x:mergeCell ref="A4:D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3" hidden="0" customWidth="1"/>
    <x:col min="3" max="3" width="42" hidden="0" customWidth="1"/>
    <x:col min="4" max="4" width="60" hidden="0" customWidth="1"/>
    <x:col min="5" max="5" width="44" hidden="0" customWidth="1"/>
    <x:col min="6" max="6" width="50" hidden="0" customWidth="1"/>
    <x:col min="7" max="7" width="28" hidden="0" customWidth="1"/>
    <x:col min="8" max="8" width="38" hidden="0" customWidth="1"/>
    <x:col min="9" max="9" width="50" hidden="0" customWidth="1"/>
  </x:cols>
  <x:sheetData>
    <x:row r="1" ht="30" customHeight="1">
      <x:c r="A1" s="4" t="str">
        <x:v>Дорожная карта на 12 месяцев</x:v>
      </x:c>
      <x:c r="B1" s="4" t="str">
        <x:v>Дорожная карта на 12 месяцев</x:v>
      </x:c>
      <x:c r="C1" s="4" t="str">
        <x:v>Дорожная карта на 12 месяцев</x:v>
      </x:c>
      <x:c r="D1" s="4" t="str">
        <x:v>Дорожная карта на 12 месяцев</x:v>
      </x:c>
      <x:c r="E1" s="4" t="str">
        <x:v>Дорожная карта на 12 месяцев</x:v>
      </x:c>
      <x:c r="F1" s="4" t="str">
        <x:v>Дорожная карта на 12 месяцев</x:v>
      </x:c>
      <x:c r="G1" s="4" t="str">
        <x:v>Дорожная карта на 12 месяцев</x:v>
      </x:c>
      <x:c r="H1" s="4" t="str">
        <x:v>Дорожная карта на 12 месяцев</x:v>
      </x:c>
      <x:c r="I1" s="4" t="str">
        <x:v>Дорожная карта на 12 месяцев</x:v>
      </x:c>
    </x:row>
    <x:row r="2" ht="32" customHeight="1">
      <x:c r="A2" s="8" t="str">
        <x:v>Инвестиционные ворота жёстко предшествуют масштабированию. Действия без положительного вклада и повторяемого качества закрываются или перерабатываются.</x:v>
      </x:c>
      <x:c r="B2" s="8" t="str">
        <x:v>Инвестиционные ворота жёстко предшествуют масштабированию. Действия без положительного вклада и повторяемого качества закрываются или перерабатываются.</x:v>
      </x:c>
      <x:c r="C2" s="8" t="str">
        <x:v>Инвестиционные ворота жёстко предшествуют масштабированию. Действия без положительного вклада и повторяемого качества закрываются или перерабатываются.</x:v>
      </x:c>
      <x:c r="D2" s="8" t="str">
        <x:v>Инвестиционные ворота жёстко предшествуют масштабированию. Действия без положительного вклада и повторяемого качества закрываются или перерабатываются.</x:v>
      </x:c>
      <x:c r="E2" s="8" t="str">
        <x:v>Инвестиционные ворота жёстко предшествуют масштабированию. Действия без положительного вклада и повторяемого качества закрываются или перерабатываются.</x:v>
      </x:c>
      <x:c r="F2" s="8" t="str">
        <x:v>Инвестиционные ворота жёстко предшествуют масштабированию. Действия без положительного вклада и повторяемого качества закрываются или перерабатываются.</x:v>
      </x:c>
      <x:c r="G2" s="8" t="str">
        <x:v>Инвестиционные ворота жёстко предшествуют масштабированию. Действия без положительного вклада и повторяемого качества закрываются или перерабатываются.</x:v>
      </x:c>
      <x:c r="H2" s="8" t="str">
        <x:v>Инвестиционные ворота жёстко предшествуют масштабированию. Действия без положительного вклада и повторяемого качества закрываются или перерабатываются.</x:v>
      </x:c>
      <x:c r="I2" s="8" t="str">
        <x:v>Инвестиционные ворота жёстко предшествуют масштабированию. Действия без положительного вклада и повторяемого качества закрываются или перерабатываются.</x:v>
      </x:c>
    </x:row>
    <x:row r="4" ht="30" customHeight="1">
      <x:c r="A4" s="14" t="str">
        <x:v>phase</x:v>
      </x:c>
      <x:c r="B4" s="14" t="str">
        <x:v>months</x:v>
      </x:c>
      <x:c r="C4" s="14" t="str">
        <x:v>objective</x:v>
      </x:c>
      <x:c r="D4" s="14" t="str">
        <x:v>actions</x:v>
      </x:c>
      <x:c r="E4" s="14" t="str">
        <x:v>investment_gate</x:v>
      </x:c>
      <x:c r="F4" s="14" t="str">
        <x:v>deliverables</x:v>
      </x:c>
      <x:c r="G4" s="14" t="str">
        <x:v>owner</x:v>
      </x:c>
      <x:c r="H4" s="14" t="str">
        <x:v>metric</x:v>
      </x:c>
      <x:c r="I4" s="14" t="str">
        <x:v>stop_or_revise</x:v>
      </x:c>
    </x:row>
    <x:row r="5">
      <x:c r="A5" s="18" t="str">
        <x:v>Foundation</x:v>
      </x:c>
      <x:c r="B5" s="18" t="str">
        <x:v>1–3</x:v>
      </x:c>
      <x:c r="C5" s="18" t="str">
        <x:v>Make the core measurable and protect trust</x:v>
      </x:c>
      <x:c r="D5" s="18" t="str">
        <x:v>Reconciled P&amp;L by product; team stability and churn codes; end-to-end funnel; 30-family progress pilot; after-school pilot</x:v>
      </x:c>
      <x:c r="E5" s="18" t="str">
        <x:v>No new site or franchise commitment</x:v>
      </x:c>
      <x:c r="F5" s="18" t="str">
        <x:v>Three signed P&amp;Ls; weekly cash view; paid funnel; after-school pilot decision</x:v>
      </x:c>
      <x:c r="G5" s="18" t="str">
        <x:v>CFO/COO/Product</x:v>
      </x:c>
      <x:c r="H5" s="18" t="str">
        <x:v>bank variance ≤2%; direct payroll allocated; pilot retention ≥75%</x:v>
      </x:c>
      <x:c r="I5" s="18" t="str">
        <x:v>Freeze all growth if the core cannot produce auditable unit economics</x:v>
      </x:c>
    </x:row>
    <x:row r="6">
      <x:c r="A6" s="18" t="str">
        <x:v>Optimization</x:v>
      </x:c>
      <x:c r="B6" s="18" t="str">
        <x:v>4–6</x:v>
      </x:c>
      <x:c r="C6" s="18" t="str">
        <x:v>Improve contribution and retention in existing capacity</x:v>
      </x:c>
      <x:c r="D6" s="18" t="str">
        <x:v>Remove weak timetable slots; reset price/inclusions; improve staffing roster; scale only successful after-school package; run two camp shifts</x:v>
      </x:c>
      <x:c r="E6" s="18" t="str">
        <x:v>Two consecutive months positive contribution per scaled product</x:v>
      </x:c>
      <x:c r="F6" s="18" t="str">
        <x:v>Cohort contribution dashboards; revised transparent contract; stable weekly operations</x:v>
      </x:c>
      <x:c r="G6" s="18" t="str">
        <x:v>COO/Product/Marketing</x:v>
      </x:c>
      <x:c r="H6" s="18" t="str">
        <x:v>gross contribution target by product; service churn -20%; CAC payback within target</x:v>
      </x:c>
      <x:c r="I6" s="18" t="str">
        <x:v>Close or redesign any product below 20% contribution after two cohorts</x:v>
      </x:c>
    </x:row>
    <x:row r="7">
      <x:c r="A7" s="18" t="str">
        <x:v>Repeatability</x:v>
      </x:c>
      <x:c r="B7" s="18" t="str">
        <x:v>7–9</x:v>
      </x:c>
      <x:c r="C7" s="18" t="str">
        <x:v>Prove that the model works without owner intervention</x:v>
      </x:c>
      <x:c r="D7" s="18" t="str">
        <x:v>Document SOPs; site scorecard; staff onboarding; family membership test; pop-up demand test in one catchment</x:v>
      </x:c>
      <x:c r="E7" s="18" t="str">
        <x:v>Three consecutive months of target contribution and quality without daily owner intervention</x:v>
      </x:c>
      <x:c r="F7" s="18" t="str">
        <x:v>Operating manual; owner-dependency log; one paid pop-up</x:v>
      </x:c>
      <x:c r="G7" s="18" t="str">
        <x:v>COO/HR/Product</x:v>
      </x:c>
      <x:c r="H7" s="18" t="str">
        <x:v>owner operating hours -50%; quality SLA ≥90%; pop-up deposits gate</x:v>
      </x:c>
      <x:c r="I7" s="18" t="str">
        <x:v>No permanent lease based only on leads or event attendance</x:v>
      </x:c>
    </x:row>
    <x:row r="8">
      <x:c r="A8" s="18" t="str">
        <x:v>Selective_growth</x:v>
      </x:c>
      <x:c r="B8" s="18" t="str">
        <x:v>10–12</x:v>
      </x:c>
      <x:c r="C8" s="18" t="str">
        <x:v>Choose one controlled growth vector</x:v>
      </x:c>
      <x:c r="D8" s="18" t="str">
        <x:v>Capacity expansion at proven site or one asset-light satellite; portfolio review; investment memo to 2030</x:v>
      </x:c>
      <x:c r="E8" s="18" t="str">
        <x:v>Six months of audited positive site contribution; LTV/CAC ≥3; cash buffer ≥6 months of fixed costs</x:v>
      </x:c>
      <x:c r="F8" s="18" t="str">
        <x:v>Board-ready scale/no-scale decision; 2030 direction; capital plan</x:v>
      </x:c>
      <x:c r="G8" s="18" t="str">
        <x:v>Vitaly + CFO + COO</x:v>
      </x:c>
      <x:c r="H8" s="18" t="str">
        <x:v>audited contribution; retention; cash runway; owner independence</x:v>
      </x:c>
      <x:c r="I8" s="18" t="str">
        <x:v>If any gate fails, remain in optimization and reject property/franchise commitments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22" hidden="0" customWidth="1"/>
    <x:col min="4" max="4" width="28" hidden="0" customWidth="1"/>
    <x:col min="5" max="5" width="34" hidden="0" customWidth="1"/>
    <x:col min="6" max="6" width="26" hidden="0" customWidth="1"/>
    <x:col min="7" max="7" width="25" hidden="0" customWidth="1"/>
    <x:col min="8" max="8" width="25" hidden="0" customWidth="1"/>
    <x:col min="9" max="9" width="29" hidden="0" customWidth="1"/>
    <x:col min="10" max="10" width="38" hidden="0" customWidth="1"/>
    <x:col min="11" max="11" width="48" hidden="0" customWidth="1"/>
    <x:col min="12" max="12" width="15" hidden="0" customWidth="1"/>
    <x:col min="13" max="13" width="42" hidden="0" customWidth="1"/>
  </x:cols>
  <x:sheetData>
    <x:row r="1" ht="30" customHeight="1">
      <x:c r="A1" s="4" t="str">
        <x:v>Карта конкурентов — Санкт-Петербург</x:v>
      </x:c>
      <x:c r="B1" s="4" t="str">
        <x:v>Карта конкурентов — Санкт-Петербург</x:v>
      </x:c>
      <x:c r="C1" s="4" t="str">
        <x:v>Карта конкурентов — Санкт-Петербург</x:v>
      </x:c>
      <x:c r="D1" s="4" t="str">
        <x:v>Карта конкурентов — Санкт-Петербург</x:v>
      </x:c>
      <x:c r="E1" s="4" t="str">
        <x:v>Карта конкурентов — Санкт-Петербург</x:v>
      </x:c>
      <x:c r="F1" s="4" t="str">
        <x:v>Карта конкурентов — Санкт-Петербург</x:v>
      </x:c>
      <x:c r="G1" s="4" t="str">
        <x:v>Карта конкурентов — Санкт-Петербург</x:v>
      </x:c>
      <x:c r="H1" s="4" t="str">
        <x:v>Карта конкурентов — Санкт-Петербург</x:v>
      </x:c>
      <x:c r="I1" s="4" t="str">
        <x:v>Карта конкурентов — Санкт-Петербург</x:v>
      </x:c>
      <x:c r="J1" s="4" t="str">
        <x:v>Карта конкурентов — Санкт-Петербург</x:v>
      </x:c>
      <x:c r="K1" s="4" t="str">
        <x:v>Карта конкурентов — Санкт-Петербург</x:v>
      </x:c>
      <x:c r="L1" s="4" t="str">
        <x:v>Карта конкурентов — Санкт-Петербург</x:v>
      </x:c>
      <x:c r="M1" s="4" t="str">
        <x:v>Карта конкурентов — Санкт-Петербург</x:v>
      </x:c>
    </x:row>
    <x:row r="2" ht="32" customHeight="1">
      <x:c r="A2" s="8" t="str">
        <x:v>24 организации/модели. Цены и рейтинги относятся к указанному периоду; отсутствие цены не заменено оценкой.</x:v>
      </x:c>
      <x:c r="B2" s="8" t="str">
        <x:v>24 организации/модели. Цены и рейтинги относятся к указанному периоду; отсутствие цены не заменено оценкой.</x:v>
      </x:c>
      <x:c r="C2" s="8" t="str">
        <x:v>24 организации/модели. Цены и рейтинги относятся к указанному периоду; отсутствие цены не заменено оценкой.</x:v>
      </x:c>
      <x:c r="D2" s="8" t="str">
        <x:v>24 организации/модели. Цены и рейтинги относятся к указанному периоду; отсутствие цены не заменено оценкой.</x:v>
      </x:c>
      <x:c r="E2" s="8" t="str">
        <x:v>24 организации/модели. Цены и рейтинги относятся к указанному периоду; отсутствие цены не заменено оценкой.</x:v>
      </x:c>
      <x:c r="F2" s="8" t="str">
        <x:v>24 организации/модели. Цены и рейтинги относятся к указанному периоду; отсутствие цены не заменено оценкой.</x:v>
      </x:c>
      <x:c r="G2" s="8" t="str">
        <x:v>24 организации/модели. Цены и рейтинги относятся к указанному периоду; отсутствие цены не заменено оценкой.</x:v>
      </x:c>
      <x:c r="H2" s="8" t="str">
        <x:v>24 организации/модели. Цены и рейтинги относятся к указанному периоду; отсутствие цены не заменено оценкой.</x:v>
      </x:c>
      <x:c r="I2" s="8" t="str">
        <x:v>24 организации/модели. Цены и рейтинги относятся к указанному периоду; отсутствие цены не заменено оценкой.</x:v>
      </x:c>
      <x:c r="J2" s="8" t="str">
        <x:v>24 организации/модели. Цены и рейтинги относятся к указанному периоду; отсутствие цены не заменено оценкой.</x:v>
      </x:c>
      <x:c r="K2" s="8" t="str">
        <x:v>24 организации/модели. Цены и рейтинги относятся к указанному периоду; отсутствие цены не заменено оценкой.</x:v>
      </x:c>
      <x:c r="L2" s="8" t="str">
        <x:v>24 организации/модели. Цены и рейтинги относятся к указанному периоду; отсутствие цены не заменено оценкой.</x:v>
      </x:c>
      <x:c r="M2" s="8" t="str">
        <x:v>24 организации/модели. Цены и рейтинги относятся к указанному периоду; отсутствие цены не заменено оценкой.</x:v>
      </x:c>
    </x:row>
    <x:row r="4" ht="30" customHeight="1">
      <x:c r="A4" s="14" t="str">
        <x:v>id</x:v>
      </x:c>
      <x:c r="B4" s="14" t="str">
        <x:v>brand</x:v>
      </x:c>
      <x:c r="C4" s="14" t="str">
        <x:v>segment</x:v>
      </x:c>
      <x:c r="D4" s="14" t="str">
        <x:v>geography_age</x:v>
      </x:c>
      <x:c r="E4" s="14" t="str">
        <x:v>format</x:v>
      </x:c>
      <x:c r="F4" s="14" t="str">
        <x:v>public_price_rub</x:v>
      </x:c>
      <x:c r="G4" s="14" t="str">
        <x:v>price_period_basis</x:v>
      </x:c>
      <x:c r="H4" s="14" t="str">
        <x:v>scale_or_branch</x:v>
      </x:c>
      <x:c r="I4" s="14" t="str">
        <x:v>review_signal_2026_07_25</x:v>
      </x:c>
      <x:c r="J4" s="14" t="str">
        <x:v>positioning</x:v>
      </x:c>
      <x:c r="K4" s="14" t="str">
        <x:v>source_url</x:v>
      </x:c>
      <x:c r="L4" s="14" t="str">
        <x:v>confidence</x:v>
      </x:c>
      <x:c r="M4" s="14" t="str">
        <x:v>caveat</x:v>
      </x:c>
    </x:row>
    <x:row r="5">
      <x:c r="A5" s="18" t="n">
        <x:v>1</x:v>
      </x:c>
      <x:c r="B5" s="18" t="str">
        <x:v>Mary Jane</x:v>
      </x:c>
      <x:c r="C5" s="18" t="str">
        <x:v>private_preschool</x:v>
      </x:c>
      <x:c r="D5" s="18" t="str">
        <x:v>SPb 1.5–7</x:v>
      </x:c>
      <x:c r="E5" s="18" t="str">
        <x:v>full day bilingual English classic education</x:v>
      </x:c>
      <x:c r="F5" s="18" t="str">
        <x:v>95000/month all-inclusive</x:v>
      </x:c>
      <x:c r="G5" s="18" t="str">
        <x:v>current Yandex product card</x:v>
      </x:c>
      <x:c r="H5" s="18" t="str">
        <x:v>3 SPb branches</x:v>
      </x:c>
      <x:c r="I5" s="18" t="str">
        <x:v>Paradnaya 4.6; 137 ratings; 58 reviews</x:v>
      </x:c>
      <x:c r="J5" s="18" t="str">
        <x:v>upper premium bilingual family convenience</x:v>
      </x:c>
      <x:c r="K5" s="18" t="str">
        <x:v>https://maryjanekids.ru/ | https://yandex.ru/maps/org/mary_jane/1196901395/</x:v>
      </x:c>
      <x:c r="L5" s="18" t="str">
        <x:v>medium-high</x:v>
      </x:c>
      <x:c r="M5" s="18" t="str">
        <x:v>Price from platform; scale claims are company claims</x:v>
      </x:c>
    </x:row>
    <x:row r="6">
      <x:c r="A6" s="18" t="n">
        <x:v>2</x:v>
      </x:c>
      <x:c r="B6" s="18" t="str">
        <x:v>Sun School</x:v>
      </x:c>
      <x:c r="C6" s="18" t="str">
        <x:v>private_preschool</x:v>
      </x:c>
      <x:c r="D6" s="18" t="str">
        <x:v>SPb preschool</x:v>
      </x:c>
      <x:c r="E6" s="18" t="str">
        <x:v>full day ABC bilingual; English; meals; security</x:v>
      </x:c>
      <x:c r="F6" s="32" t="str">
        <x:v>NOT_PROVEN</x:v>
      </x:c>
      <x:c r="G6" s="18" t="str">
        <x:v>current local page</x:v>
      </x:c>
      <x:c r="H6" s="18" t="str">
        <x:v>large federal network; Respublikan­skaya branch</x:v>
      </x:c>
      <x:c r="I6" s="18" t="str">
        <x:v>5.0; 165 ratings; exact reviews not captured</x:v>
      </x:c>
      <x:c r="J6" s="18" t="str">
        <x:v>standardized bilingual network</x:v>
      </x:c>
      <x:c r="K6" s="18" t="str">
        <x:v>https://sunschool.ru/sankt-peterburg/ul-respublikanskaya-d-35-k-2/</x:v>
      </x:c>
      <x:c r="L6" s="18" t="str">
        <x:v>medium</x:v>
      </x:c>
      <x:c r="M6" s="18" t="str">
        <x:v>Network claims promotional; local contract price unavailable</x:v>
      </x:c>
    </x:row>
    <x:row r="7">
      <x:c r="A7" s="18" t="n">
        <x:v>3</x:v>
      </x:c>
      <x:c r="B7" s="18" t="str">
        <x:v>International Montessori School</x:v>
      </x:c>
      <x:c r="C7" s="18" t="str">
        <x:v>private_preschool</x:v>
      </x:c>
      <x:c r="D7" s="18" t="str">
        <x:v>SPb 1.5–7</x:v>
      </x:c>
      <x:c r="E7" s="18" t="str">
        <x:v>English Montessori; Mon–Thu 9–18; Fri–17</x:v>
      </x:c>
      <x:c r="F7" s="32" t="str">
        <x:v>NOT_PROVEN</x:v>
      </x:c>
      <x:c r="G7" s="18" t="str">
        <x:v>current official</x:v>
      </x:c>
      <x:c r="H7" s="18" t="str">
        <x:v>one identified branch</x:v>
      </x:c>
      <x:c r="I7" s="18" t="str">
        <x:v>4.3; 49 ratings; 14 reviews</x:v>
      </x:c>
      <x:c r="J7" s="18" t="str">
        <x:v>English Montessori niche</x:v>
      </x:c>
      <x:c r="K7" s="18" t="str">
        <x:v>https://montessori-petersburg.com/</x:v>
      </x:c>
      <x:c r="L7" s="18" t="str">
        <x:v>high format; medium ratings</x:v>
      </x:c>
      <x:c r="M7" s="18" t="str">
        <x:v>30+ years and licence are company claims</x:v>
      </x:c>
    </x:row>
    <x:row r="8">
      <x:c r="A8" s="18" t="n">
        <x:v>4</x:v>
      </x:c>
      <x:c r="B8" s="18" t="str">
        <x:v>Gnezdo</x:v>
      </x:c>
      <x:c r="C8" s="18" t="str">
        <x:v>private_preschool</x:v>
      </x:c>
      <x:c r="D8" s="18" t="str">
        <x:v>SPb ~1.8+</x:v>
      </x:c>
      <x:c r="E8" s="18" t="str">
        <x:v>creative community; Reggio-like; full day; camps; small groups</x:v>
      </x:c>
      <x:c r="F8" s="32" t="str">
        <x:v>NOT_PROVEN; weak 25000–35000/month indication</x:v>
      </x:c>
      <x:c r="G8" s="18" t="str">
        <x:v>historical third-party</x:v>
      </x:c>
      <x:c r="H8" s="18" t="str">
        <x:v>one identified branch</x:v>
      </x:c>
      <x:c r="I8" s="18" t="str">
        <x:v>5.0; 80 ratings; 54 reviews</x:v>
      </x:c>
      <x:c r="J8" s="18" t="str">
        <x:v>creative community child-led</x:v>
      </x:c>
      <x:c r="K8" s="18" t="str">
        <x:v>https://prognezdo.ru/</x:v>
      </x:c>
      <x:c r="L8" s="18" t="str">
        <x:v>medium format; low price</x:v>
      </x:c>
      <x:c r="M8" s="18" t="str">
        <x:v>Current price unavailable</x:v>
      </x:c>
    </x:row>
    <x:row r="9">
      <x:c r="A9" s="18" t="n">
        <x:v>5</x:v>
      </x:c>
      <x:c r="B9" s="18" t="str">
        <x:v>Mon Ami</x:v>
      </x:c>
      <x:c r="C9" s="18" t="str">
        <x:v>private_preschool_and_primary</x:v>
      </x:c>
      <x:c r="D9" s="18" t="str">
        <x:v>SPb 0–12</x:v>
      </x:c>
      <x:c r="E9" s="18" t="str">
        <x:v>Montessori NIDO; toddler; Casa; school</x:v>
      </x:c>
      <x:c r="F9" s="32" t="str">
        <x:v>NOT_PROVEN; indexed historical 63500–73500/month</x:v>
      </x:c>
      <x:c r="G9" s="18" t="str">
        <x:v>2023 indexed data</x:v>
      </x:c>
      <x:c r="H9" s="18" t="str">
        <x:v>3 branches claimed</x:v>
      </x:c>
      <x:c r="I9" s="18" t="str">
        <x:v>Orlovskaya 4.9; 92 ratings</x:v>
      </x:c>
      <x:c r="J9" s="18" t="str">
        <x:v>Montessori age continuum</x:v>
      </x:c>
      <x:c r="K9" s="18" t="str">
        <x:v>https://monamikids.ru/</x:v>
      </x:c>
      <x:c r="L9" s="18" t="str">
        <x:v>medium-low</x:v>
      </x:c>
      <x:c r="M9" s="18" t="str">
        <x:v>Historical price not current</x:v>
      </x:c>
    </x:row>
    <x:row r="10">
      <x:c r="A10" s="18" t="n">
        <x:v>6</x:v>
      </x:c>
      <x:c r="B10" s="18" t="str">
        <x:v>School Benois</x:v>
      </x:c>
      <x:c r="C10" s="18" t="str">
        <x:v>private_preschool</x:v>
      </x:c>
      <x:c r="D10" s="18" t="str">
        <x:v>SPb preschool</x:v>
      </x:c>
      <x:c r="E10" s="18" t="str">
        <x:v>full/half day; groups ≤8; classes</x:v>
      </x:c>
      <x:c r="F10" s="18" t="str">
        <x:v>37000 full day; 27000 half day; 7200/8 visits</x:v>
      </x:c>
      <x:c r="G10" s="18" t="str">
        <x:v>stale Yandex card</x:v>
      </x:c>
      <x:c r="H10" s="18" t="str">
        <x:v>Beringa visible; several closed</x:v>
      </x:c>
      <x:c r="I10" s="18" t="str">
        <x:v>4.1; 14 ratings; 7 reviews</x:v>
      </x:c>
      <x:c r="J10" s="18" t="str">
        <x:v>small-group mid-price</x:v>
      </x:c>
      <x:c r="K10" s="18" t="str">
        <x:v>https://yandex.ru/maps/org/shkola_benua/138039733289/</x:v>
      </x:c>
      <x:c r="L10" s="18" t="str">
        <x:v>low-medium</x:v>
      </x:c>
      <x:c r="M10" s="18" t="str">
        <x:v>Card not updated; consolidation signal only</x:v>
      </x:c>
    </x:row>
    <x:row r="11">
      <x:c r="A11" s="18" t="n">
        <x:v>7</x:v>
      </x:c>
      <x:c r="B11" s="18" t="str">
        <x:v>Novaya Istoriya Murino</x:v>
      </x:c>
      <x:c r="C11" s="18" t="str">
        <x:v>subsidized_private_preschool</x:v>
      </x:c>
      <x:c r="D11" s="18" t="str">
        <x:v>Murino preschool</x:v>
      </x:c>
      <x:c r="E11" s="18" t="str">
        <x:v>state-subsidized full day + extras</x:v>
      </x:c>
      <x:c r="F11" s="18" t="str">
        <x:v>5500/month base; extras 4000–6500/8</x:v>
      </x:c>
      <x:c r="G11" s="18" t="str">
        <x:v>current official</x:v>
      </x:c>
      <x:c r="H11" s="18" t="str">
        <x:v>Murino Shuvalova 7</x:v>
      </x:c>
      <x:c r="I11" s="18" t="str">
        <x:v>not coded</x:v>
      </x:c>
      <x:c r="J11" s="18" t="str">
        <x:v>subsidized low-price anchor</x:v>
      </x:c>
      <x:c r="K11" s="18" t="str">
        <x:v>https://nh-detsad.ru/devyatkino/prays/</x:v>
      </x:c>
      <x:c r="L11" s="18" t="str">
        <x:v>high</x:v>
      </x:c>
      <x:c r="M11" s="18" t="str">
        <x:v>Not comparable with unsubsidized garden</x:v>
      </x:c>
    </x:row>
    <x:row r="12">
      <x:c r="A12" s="18" t="n">
        <x:v>8</x:v>
      </x:c>
      <x:c r="B12" s="18" t="str">
        <x:v>ILA Aspect preschool</x:v>
      </x:c>
      <x:c r="C12" s="18" t="str">
        <x:v>private_preschool</x:v>
      </x:c>
      <x:c r="D12" s="18" t="str">
        <x:v>SPb preschool</x:v>
      </x:c>
      <x:c r="E12" s="18" t="str">
        <x:v>bilingual BNC + FGOS full day</x:v>
      </x:c>
      <x:c r="F12" s="18" t="str">
        <x:v>1100000/year Nalichnaya; 1530000/year Krestovsky; registration/food extra</x:v>
      </x:c>
      <x:c r="G12" s="18" t="str">
        <x:v>2026 documents</x:v>
      </x:c>
      <x:c r="H12" s="18" t="str">
        <x:v>multiple campuses</x:v>
      </x:c>
      <x:c r="I12" s="18" t="str">
        <x:v>preschool rating not normalized</x:v>
      </x:c>
      <x:c r="J12" s="18" t="str">
        <x:v>premium bilingual</x:v>
      </x:c>
      <x:c r="K12" s="18" t="str">
        <x:v>https://ilaaspect.com/price/</x:v>
      </x:c>
      <x:c r="L12" s="18" t="str">
        <x:v>high</x:v>
      </x:c>
      <x:c r="M12" s="18" t="str">
        <x:v>Normalize months and extras</x:v>
      </x:c>
    </x:row>
    <x:row r="13">
      <x:c r="A13" s="18" t="n">
        <x:v>9</x:v>
      </x:c>
      <x:c r="B13" s="18" t="str">
        <x:v>MIRT</x:v>
      </x:c>
      <x:c r="C13" s="18" t="str">
        <x:v>private_school</x:v>
      </x:c>
      <x:c r="D13" s="18" t="str">
        <x:v>SPb grades 1–11</x:v>
      </x:c>
      <x:c r="E13" s="18" t="str">
        <x:v>full day; max 16; meals; English; transport</x:v>
      </x:c>
      <x:c r="F13" s="18" t="str">
        <x:v>80000–93000/month list; 67777 promo</x:v>
      </x:c>
      <x:c r="G13" s="18" t="str">
        <x:v>current 2026</x:v>
      </x:c>
      <x:c r="H13" s="18" t="str">
        <x:v>one school</x:v>
      </x:c>
      <x:c r="I13" s="18" t="str">
        <x:v>4.4; 202 ratings; 73 reviews</x:v>
      </x:c>
      <x:c r="J13" s="18" t="str">
        <x:v>mid-upper full-day</x:v>
      </x:c>
      <x:c r="K13" s="18" t="str">
        <x:v>https://mirtcamp.ru/ | https://yandex.ru/maps/org/mirt/1048879657/</x:v>
      </x:c>
      <x:c r="L13" s="18" t="str">
        <x:v>medium</x:v>
      </x:c>
      <x:c r="M13" s="18" t="str">
        <x:v>Conflicting base prices and promo deadlines</x:v>
      </x:c>
    </x:row>
    <x:row r="14">
      <x:c r="A14" s="18" t="n">
        <x:v>10</x:v>
      </x:c>
      <x:c r="B14" s="18" t="str">
        <x:v>Vzmakh</x:v>
      </x:c>
      <x:c r="C14" s="18" t="str">
        <x:v>private_school_and_preschool</x:v>
      </x:c>
      <x:c r="D14" s="18" t="str">
        <x:v>SPb grades 1–11 + preschool</x:v>
      </x:c>
      <x:c r="E14" s="18" t="str">
        <x:v>full day; deep English; theatre; business</x:v>
      </x:c>
      <x:c r="F14" s="32" t="str">
        <x:v>NOT_PROVEN; official historical 558000/year in 2022</x:v>
      </x:c>
      <x:c r="G14" s="18" t="str">
        <x:v>historical official</x:v>
      </x:c>
      <x:c r="H14" s="18" t="str">
        <x:v>multi-campus</x:v>
      </x:c>
      <x:c r="I14" s="18" t="str">
        <x:v>4.6; 476 ratings; 146 reviews</x:v>
      </x:c>
      <x:c r="J14" s="18" t="str">
        <x:v>established language-rich network</x:v>
      </x:c>
      <x:c r="K14" s="18" t="str">
        <x:v>https://vzmakh.com/ | https://yandex.ru/maps/org/vzmakh/1052674021/reviews/</x:v>
      </x:c>
      <x:c r="L14" s="18" t="str">
        <x:v>medium format; low price</x:v>
      </x:c>
      <x:c r="M14" s="18" t="str">
        <x:v>Current official price unavailable</x:v>
      </x:c>
    </x:row>
    <x:row r="15">
      <x:c r="A15" s="18" t="n">
        <x:v>11</x:v>
      </x:c>
      <x:c r="B15" s="18" t="str">
        <x:v>ILA Aspect school</x:v>
      </x:c>
      <x:c r="C15" s="18" t="str">
        <x:v>private_school</x:v>
      </x:c>
      <x:c r="D15" s="18" t="str">
        <x:v>SPb grades 1–11</x:v>
      </x:c>
      <x:c r="E15" s="18" t="str">
        <x:v>FGOS + English/BNC; campus tiers</x:v>
      </x:c>
      <x:c r="F15" s="18" t="str">
        <x:v>450000/9m; 495000/9m; 1200000–1630000/10m premium primary; extras</x:v>
      </x:c>
      <x:c r="G15" s="18" t="str">
        <x:v>2026 price page</x:v>
      </x:c>
      <x:c r="H15" s="18" t="str">
        <x:v>multiple campuses</x:v>
      </x:c>
      <x:c r="I15" s="18" t="str">
        <x:v>2 Line 4.4; 164 ratings; 47 reviews</x:v>
      </x:c>
      <x:c r="J15" s="18" t="str">
        <x:v>mid-price to premium bilingual</x:v>
      </x:c>
      <x:c r="K15" s="18" t="str">
        <x:v>https://ilaaspect.com/school/ | https://ilaaspect.com/price/</x:v>
      </x:c>
      <x:c r="L15" s="18" t="str">
        <x:v>high</x:v>
      </x:c>
      <x:c r="M15" s="18" t="str">
        <x:v>Do not average campuses</x:v>
      </x:c>
    </x:row>
    <x:row r="16">
      <x:c r="A16" s="18" t="n">
        <x:v>12</x:v>
      </x:c>
      <x:c r="B16" s="18" t="str">
        <x:v>EpiSchool</x:v>
      </x:c>
      <x:c r="C16" s="18" t="str">
        <x:v>private_school</x:v>
      </x:c>
      <x:c r="D16" s="18" t="str">
        <x:v>SPb grades 1–11</x:v>
      </x:c>
      <x:c r="E16" s="18" t="str">
        <x:v>full-time; family/project; individual pace; online</x:v>
      </x:c>
      <x:c r="F16" s="18" t="str">
        <x:v>737000/year before 1 Jun; 770000 after; food extra; online 35000–220000/year</x:v>
      </x:c>
      <x:c r="G16" s="18" t="str">
        <x:v>2026/27</x:v>
      </x:c>
      <x:c r="H16" s="18" t="str">
        <x:v>one school + online</x:v>
      </x:c>
      <x:c r="I16" s="18" t="str">
        <x:v>4.9; 156 ratings; 28 reviews</x:v>
      </x:c>
      <x:c r="J16" s="18" t="str">
        <x:v>project-based flexible</x:v>
      </x:c>
      <x:c r="K16" s="18" t="str">
        <x:v>https://epischool.ru/price | https://yandex.ru/maps/org/epishkola/1049588626/reviews/</x:v>
      </x:c>
      <x:c r="L16" s="18" t="str">
        <x:v>high</x:v>
      </x:c>
      <x:c r="M16" s="18" t="str">
        <x:v>Early discount changes effective price</x:v>
      </x:c>
    </x:row>
    <x:row r="17">
      <x:c r="A17" s="18" t="n">
        <x:v>13</x:v>
      </x:c>
      <x:c r="B17" s="18" t="str">
        <x:v>Moroshka</x:v>
      </x:c>
      <x:c r="C17" s="18" t="str">
        <x:v>private_school</x:v>
      </x:c>
      <x:c r="D17" s="18" t="str">
        <x:v>SPb school age</x:v>
      </x:c>
      <x:c r="E17" s="18" t="str">
        <x:v>full day; psychology; theatre; art; chess</x:v>
      </x:c>
      <x:c r="F17" s="18" t="str">
        <x:v>65000/month; 650000/year; entry 65000; food 600/day; extras</x:v>
      </x:c>
      <x:c r="G17" s="18" t="str">
        <x:v>June 2026</x:v>
      </x:c>
      <x:c r="H17" s="18" t="str">
        <x:v>one school</x:v>
      </x:c>
      <x:c r="I17" s="18" t="str">
        <x:v>4.9; 73 ratings; 25 reviews</x:v>
      </x:c>
      <x:c r="J17" s="18" t="str">
        <x:v>mid-upper family full-day</x:v>
      </x:c>
      <x:c r="K17" s="18" t="str">
        <x:v>https://moroshka.school/stoimost-obucheniya-v-chastnoj-shkole-moroshka/</x:v>
      </x:c>
      <x:c r="L17" s="18" t="str">
        <x:v>high</x:v>
      </x:c>
      <x:c r="M17" s="18" t="str">
        <x:v>Headline understates all-in cost</x:v>
      </x:c>
    </x:row>
    <x:row r="18">
      <x:c r="A18" s="18" t="n">
        <x:v>14</x:v>
      </x:c>
      <x:c r="B18" s="18" t="str">
        <x:v>Baltica College</x:v>
      </x:c>
      <x:c r="C18" s="18" t="str">
        <x:v>private_school</x:v>
      </x:c>
      <x:c r="D18" s="18" t="str">
        <x:v>SPb grades 1–11</x:v>
      </x:c>
      <x:c r="E18" s="18" t="str">
        <x:v>full day; up to 15</x:v>
      </x:c>
      <x:c r="F18" s="18" t="str">
        <x:v>55000/month</x:v>
      </x:c>
      <x:c r="G18" s="18" t="str">
        <x:v>current possibly stale Yandex</x:v>
      </x:c>
      <x:c r="H18" s="18" t="str">
        <x:v>Mayakovskogo 37V</x:v>
      </x:c>
      <x:c r="I18" s="18" t="str">
        <x:v>4.4; 213 ratings; 105 reviews</x:v>
      </x:c>
      <x:c r="J18" s="18" t="str">
        <x:v>established mid-price</x:v>
      </x:c>
      <x:c r="K18" s="18" t="str">
        <x:v>https://baltica-college.ru/ | https://yandex.ru/maps/org/baltika_kolledzh/216526037692/</x:v>
      </x:c>
      <x:c r="L18" s="18" t="str">
        <x:v>medium</x:v>
      </x:c>
      <x:c r="M18" s="18" t="str">
        <x:v>Platform product may lag</x:v>
      </x:c>
    </x:row>
    <x:row r="19">
      <x:c r="A19" s="18" t="n">
        <x:v>15</x:v>
      </x:c>
      <x:c r="B19" s="18" t="str">
        <x:v>Pascal Lyceum</x:v>
      </x:c>
      <x:c r="C19" s="18" t="str">
        <x:v>private_school</x:v>
      </x:c>
      <x:c r="D19" s="18" t="str">
        <x:v>SPb school age</x:v>
      </x:c>
      <x:c r="E19" s="18" t="str">
        <x:v>private lyceum</x:v>
      </x:c>
      <x:c r="F19" s="18" t="str">
        <x:v>47000/month</x:v>
      </x:c>
      <x:c r="G19" s="18" t="str">
        <x:v>official 2025/26</x:v>
      </x:c>
      <x:c r="H19" s="18" t="str">
        <x:v>one school</x:v>
      </x:c>
      <x:c r="I19" s="18" t="str">
        <x:v>4.5; 315 ratings; 90 reviews</x:v>
      </x:c>
      <x:c r="J19" s="18" t="str">
        <x:v>lower-mid price anchor</x:v>
      </x:c>
      <x:c r="K19" s="18" t="str">
        <x:v>https://pascallyceum.ru/платные-образовательные-услуги/</x:v>
      </x:c>
      <x:c r="L19" s="18" t="str">
        <x:v>high for 2025/26</x:v>
      </x:c>
      <x:c r="M19" s="32" t="str">
        <x:v>2026/27 price NOT_PROVEN</x:v>
      </x:c>
    </x:row>
    <x:row r="20">
      <x:c r="A20" s="18" t="n">
        <x:v>16</x:v>
      </x:c>
      <x:c r="B20" s="18" t="str">
        <x:v>Hexly School</x:v>
      </x:c>
      <x:c r="C20" s="18" t="str">
        <x:v>private_school</x:v>
      </x:c>
      <x:c r="D20" s="18" t="str">
        <x:v>SPb grades 1–11</x:v>
      </x:c>
      <x:c r="E20" s="18" t="str">
        <x:v>full day; classes 10–12; IT; up to 3 trial days</x:v>
      </x:c>
      <x:c r="F20" s="32" t="str">
        <x:v>NOT_PROVEN</x:v>
      </x:c>
      <x:c r="G20" s="18" t="str">
        <x:v>2026/27 enrollment</x:v>
      </x:c>
      <x:c r="H20" s="18" t="str">
        <x:v>one campus</x:v>
      </x:c>
      <x:c r="I20" s="18" t="str">
        <x:v>4.6; 13 ratings; 9 reviews</x:v>
      </x:c>
      <x:c r="J20" s="18" t="str">
        <x:v>small IT full-day</x:v>
      </x:c>
      <x:c r="K20" s="18" t="str">
        <x:v>https://hexlyschool.ru/ | https://yandex.ru/maps/org/khekslet/97602728427/</x:v>
      </x:c>
      <x:c r="L20" s="18" t="str">
        <x:v>medium</x:v>
      </x:c>
      <x:c r="M20" s="18" t="str">
        <x:v>Price hidden; small review sample</x:v>
      </x:c>
    </x:row>
    <x:row r="21">
      <x:c r="A21" s="18" t="n">
        <x:v>17</x:v>
      </x:c>
      <x:c r="B21" s="18" t="str">
        <x:v>KIBERone</x:v>
      </x:c>
      <x:c r="C21" s="18" t="str">
        <x:v>additional_IT</x:v>
      </x:c>
      <x:c r="D21" s="18" t="str">
        <x:v>SPb 6–14</x:v>
      </x:c>
      <x:c r="E21" s="18" t="str">
        <x:v>offline IT; AI; camps; mini-groups ≤12</x:v>
      </x:c>
      <x:c r="F21" s="32" t="str">
        <x:v>NOT_PROVEN; weak ~7100/month indication</x:v>
      </x:c>
      <x:c r="G21" s="18" t="str">
        <x:v>third-party/platform</x:v>
      </x:c>
      <x:c r="H21" s="18" t="str">
        <x:v>many local branches claimed</x:v>
      </x:c>
      <x:c r="I21" s="18" t="str">
        <x:v>5.0; 50 ratings; 46 reviews selected branch</x:v>
      </x:c>
      <x:c r="J21" s="18" t="str">
        <x:v>large IT academy</x:v>
      </x:c>
      <x:c r="K21" s="18" t="str">
        <x:v>https://saint-petersburg.kiber-one.com/ | https://yandex.ru/maps/org/kiberone/170543719097/reviews/</x:v>
      </x:c>
      <x:c r="L21" s="18" t="str">
        <x:v>medium-low</x:v>
      </x:c>
      <x:c r="M21" s="18" t="str">
        <x:v>Scale promotional; method unclear</x:v>
      </x:c>
    </x:row>
    <x:row r="22">
      <x:c r="A22" s="18" t="n">
        <x:v>18</x:v>
      </x:c>
      <x:c r="B22" s="18" t="str">
        <x:v>CODDY</x:v>
      </x:c>
      <x:c r="C22" s="18" t="str">
        <x:v>additional_IT</x:v>
      </x:c>
      <x:c r="D22" s="18" t="str">
        <x:v>SPb 4–18</x:v>
      </x:c>
      <x:c r="E22" s="18" t="str">
        <x:v>online; partner offline; group/individual coding</x:v>
      </x:c>
      <x:c r="F22" s="18" t="str">
        <x:v>8200/8h month; 21000/24h; 49600/64h</x:v>
      </x:c>
      <x:c r="G22" s="18" t="str">
        <x:v>current official</x:v>
      </x:c>
      <x:c r="H22" s="18" t="str">
        <x:v>partner/offsite; fixed branch closed</x:v>
      </x:c>
      <x:c r="I22" s="32" t="str">
        <x:v>local comparable rating NOT_PROVEN</x:v>
      </x:c>
      <x:c r="J22" s="18" t="str">
        <x:v>broad coding catalogue</x:v>
      </x:c>
      <x:c r="K22" s="18" t="str">
        <x:v>https://spb.coddyschool.com/</x:v>
      </x:c>
      <x:c r="L22" s="18" t="str">
        <x:v>medium</x:v>
      </x:c>
      <x:c r="M22" s="18" t="str">
        <x:v>Package totals ambiguously labelled</x:v>
      </x:c>
    </x:row>
    <x:row r="23">
      <x:c r="A23" s="18" t="n">
        <x:v>19</x:v>
      </x:c>
      <x:c r="B23" s="18" t="str">
        <x:v>Moscow School of Programmers</x:v>
      </x:c>
      <x:c r="C23" s="18" t="str">
        <x:v>additional_IT</x:v>
      </x:c>
      <x:c r="D23" s="18" t="str">
        <x:v>SPb grades 2–10</x:v>
      </x:c>
      <x:c r="E23" s="18" t="str">
        <x:v>multi-year curricula; 16 academic h/month</x:v>
      </x:c>
      <x:c r="F23" s="18" t="str">
        <x:v>11500–12500/month</x:v>
      </x:c>
      <x:c r="G23" s="18" t="str">
        <x:v>current</x:v>
      </x:c>
      <x:c r="H23" s="18" t="str">
        <x:v>5 SPb branches claimed</x:v>
      </x:c>
      <x:c r="I23" s="18" t="str">
        <x:v>2GIS 5.0; 13 ratings; 10 reviews</x:v>
      </x:c>
      <x:c r="J23" s="18" t="str">
        <x:v>deep long-cycle programming</x:v>
      </x:c>
      <x:c r="K23" s="18" t="str">
        <x:v>https://informatics.ru/ | https://2gis.ru/spb/firm/70000001089487533</x:v>
      </x:c>
      <x:c r="L23" s="18" t="str">
        <x:v>medium-high</x:v>
      </x:c>
      <x:c r="M23" s="18" t="str">
        <x:v>Awards/longevity company claims</x:v>
      </x:c>
    </x:row>
    <x:row r="24">
      <x:c r="A24" s="18" t="n">
        <x:v>20</x:v>
      </x:c>
      <x:c r="B24" s="18" t="str">
        <x:v>UFirst</x:v>
      </x:c>
      <x:c r="C24" s="18" t="str">
        <x:v>additional_languages</x:v>
      </x:c>
      <x:c r="D24" s="18" t="str">
        <x:v>SPb 2–17</x:v>
      </x:c>
      <x:c r="E24" s="18" t="str">
        <x:v>offline/online English; group/individual</x:v>
      </x:c>
      <x:c r="F24" s="18" t="str">
        <x:v>858/40m age7–9; 944 age3–6; 1658 age2–3; individual 2100</x:v>
      </x:c>
      <x:c r="G24" s="18" t="str">
        <x:v>current official</x:v>
      </x:c>
      <x:c r="H24" s="18" t="str">
        <x:v>multiple branches</x:v>
      </x:c>
      <x:c r="I24" s="18" t="str">
        <x:v>Veteranov 4.9; 243 ratings; 92 reviews</x:v>
      </x:c>
      <x:c r="J24" s="18" t="str">
        <x:v>large language network</x:v>
      </x:c>
      <x:c r="K24" s="18" t="str">
        <x:v>https://ufirst.ru/english/kidsandtheens/ | https://yandex.ru/maps/org/ufirst/1010327044/</x:v>
      </x:c>
      <x:c r="L24" s="18" t="str">
        <x:v>high</x:v>
      </x:c>
      <x:c r="M24" s="18" t="str">
        <x:v>Multiply per-lesson by actual calendar</x:v>
      </x:c>
    </x:row>
    <x:row r="25">
      <x:c r="A25" s="18" t="n">
        <x:v>21</x:v>
      </x:c>
      <x:c r="B25" s="18" t="str">
        <x:v>Algorithmics</x:v>
      </x:c>
      <x:c r="C25" s="18" t="str">
        <x:v>additional_IT</x:v>
      </x:c>
      <x:c r="D25" s="18" t="str">
        <x:v>SPb 6–17</x:v>
      </x:c>
      <x:c r="E25" s="18" t="str">
        <x:v>Scratch; Python; games; web; design</x:v>
      </x:c>
      <x:c r="F25" s="32" t="str">
        <x:v>NOT_PROVEN</x:v>
      </x:c>
      <x:c r="G25" s="18" t="str">
        <x:v>personalized quote</x:v>
      </x:c>
      <x:c r="H25" s="18" t="str">
        <x:v>local branches unresolved</x:v>
      </x:c>
      <x:c r="I25" s="32" t="str">
        <x:v>rating NOT_PROVEN</x:v>
      </x:c>
      <x:c r="J25" s="18" t="str">
        <x:v>mass modular digital skills</x:v>
      </x:c>
      <x:c r="K25" s="18" t="str">
        <x:v>https://algoritmika.org/ru</x:v>
      </x:c>
      <x:c r="L25" s="18" t="str">
        <x:v>medium product; low price</x:v>
      </x:c>
      <x:c r="M25" s="18" t="str">
        <x:v>No standardized SPb price or reliable branch count</x:v>
      </x:c>
    </x:row>
    <x:row r="26">
      <x:c r="A26" s="18" t="n">
        <x:v>22</x:v>
      </x:c>
      <x:c r="B26" s="18" t="str">
        <x:v>ITMO Youth Computer Center</x:v>
      </x:c>
      <x:c r="C26" s="18" t="str">
        <x:v>additional_IT</x:v>
      </x:c>
      <x:c r="D26" s="18" t="str">
        <x:v>SPb school age</x:v>
      </x:c>
      <x:c r="E26" s="18" t="str">
        <x:v>university group courses</x:v>
      </x:c>
      <x:c r="F26" s="18" t="str">
        <x:v>7800–8400/month; 650–700 per academic hour</x:v>
      </x:c>
      <x:c r="G26" s="18" t="str">
        <x:v>2026/27</x:v>
      </x:c>
      <x:c r="H26" s="18" t="str">
        <x:v>ITMO centre</x:v>
      </x:c>
      <x:c r="I26" s="18" t="str">
        <x:v>not coded</x:v>
      </x:c>
      <x:c r="J26" s="18" t="str">
        <x:v>university-linked price anchor</x:v>
      </x:c>
      <x:c r="K26" s="18" t="str">
        <x:v>https://cccp.itmo.ru/</x:v>
      </x:c>
      <x:c r="L26" s="18" t="str">
        <x:v>high</x:v>
      </x:c>
      <x:c r="M26" s="18" t="str">
        <x:v>Not like-for-like commercial network</x:v>
      </x:c>
    </x:row>
    <x:row r="27">
      <x:c r="A27" s="18" t="n">
        <x:v>23</x:v>
      </x:c>
      <x:c r="B27" s="18" t="str">
        <x:v>Azbuka Baleta</x:v>
      </x:c>
      <x:c r="C27" s="18" t="str">
        <x:v>additional_arts_sport</x:v>
      </x:c>
      <x:c r="D27" s="18" t="str">
        <x:v>SPb age 2+</x:v>
      </x:c>
      <x:c r="E27" s="18" t="str">
        <x:v>ballet twice weekly; free trial</x:v>
      </x:c>
      <x:c r="F27" s="18" t="str">
        <x:v>7900 one month; 6900/month 6m; 6500 12m</x:v>
      </x:c>
      <x:c r="G27" s="18" t="str">
        <x:v>current official</x:v>
      </x:c>
      <x:c r="H27" s="18" t="str">
        <x:v>network</x:v>
      </x:c>
      <x:c r="I27" s="18" t="str">
        <x:v>not coded</x:v>
      </x:c>
      <x:c r="J27" s="18" t="str">
        <x:v>specialized subscription</x:v>
      </x:c>
      <x:c r="K27" s="18" t="str">
        <x:v>https://azbukabaleta.ru/saint-petersburg/</x:v>
      </x:c>
      <x:c r="L27" s="18" t="str">
        <x:v>high</x:v>
      </x:c>
      <x:c r="M27" s="18" t="str">
        <x:v>Discount requires long commitment</x:v>
      </x:c>
    </x:row>
    <x:row r="28">
      <x:c r="A28" s="18" t="n">
        <x:v>24</x:v>
      </x:c>
      <x:c r="B28" s="18" t="str">
        <x:v>Children Art School 13</x:v>
      </x:c>
      <x:c r="C28" s="18" t="str">
        <x:v>additional_arts_public</x:v>
      </x:c>
      <x:c r="D28" s="18" t="str">
        <x:v>SPb children</x:v>
      </x:c>
      <x:c r="E28" s="18" t="str">
        <x:v>self-funded group art; 3h/week</x:v>
      </x:c>
      <x:c r="F28" s="18" t="str">
        <x:v>4800/month</x:v>
      </x:c>
      <x:c r="G28" s="18" t="str">
        <x:v>2026/27</x:v>
      </x:c>
      <x:c r="H28" s="18" t="str">
        <x:v>public art school</x:v>
      </x:c>
      <x:c r="I28" s="18" t="str">
        <x:v>not coded</x:v>
      </x:c>
      <x:c r="J28" s="18" t="str">
        <x:v>public price/credibility anchor</x:v>
      </x:c>
      <x:c r="K28" s="18" t="str">
        <x:v>https://art-school13.ru/</x:v>
      </x:c>
      <x:c r="L28" s="18" t="str">
        <x:v>high</x:v>
      </x:c>
      <x:c r="M28" s="18" t="str">
        <x:v>Public economics/regulation not comparable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26" hidden="0" customWidth="1"/>
    <x:col min="4" max="4" width="33" hidden="0" customWidth="1"/>
    <x:col min="5" max="5" width="24" hidden="0" customWidth="1"/>
    <x:col min="6" max="6" width="32" hidden="0" customWidth="1"/>
    <x:col min="7" max="7" width="17" hidden="0" customWidth="1"/>
    <x:col min="8" max="8" width="28" hidden="0" customWidth="1"/>
    <x:col min="9" max="9" width="38" hidden="0" customWidth="1"/>
    <x:col min="10" max="10" width="48" hidden="0" customWidth="1"/>
    <x:col min="11" max="11" width="20" hidden="0" customWidth="1"/>
    <x:col min="12" max="12" width="15" hidden="0" customWidth="1"/>
    <x:col min="13" max="13" width="45" hidden="0" customWidth="1"/>
  </x:cols>
  <x:sheetData>
    <x:row r="1" ht="30" customHeight="1">
      <x:c r="A1" s="4" t="str">
        <x:v>Карта конкурентов — Москва и регионы России</x:v>
      </x:c>
      <x:c r="B1" s="4" t="str">
        <x:v>Карта конкурентов — Москва и регионы России</x:v>
      </x:c>
      <x:c r="C1" s="4" t="str">
        <x:v>Карта конкурентов — Москва и регионы России</x:v>
      </x:c>
      <x:c r="D1" s="4" t="str">
        <x:v>Карта конкурентов — Москва и регионы России</x:v>
      </x:c>
      <x:c r="E1" s="4" t="str">
        <x:v>Карта конкурентов — Москва и регионы России</x:v>
      </x:c>
      <x:c r="F1" s="4" t="str">
        <x:v>Карта конкурентов — Москва и регионы России</x:v>
      </x:c>
      <x:c r="G1" s="4" t="str">
        <x:v>Карта конкурентов — Москва и регионы России</x:v>
      </x:c>
      <x:c r="H1" s="4" t="str">
        <x:v>Карта конкурентов — Москва и регионы России</x:v>
      </x:c>
      <x:c r="I1" s="4" t="str">
        <x:v>Карта конкурентов — Москва и регионы России</x:v>
      </x:c>
      <x:c r="J1" s="4" t="str">
        <x:v>Карта конкурентов — Москва и регионы России</x:v>
      </x:c>
      <x:c r="K1" s="4" t="str">
        <x:v>Карта конкурентов — Москва и регионы России</x:v>
      </x:c>
      <x:c r="L1" s="4" t="str">
        <x:v>Карта конкурентов — Москва и регионы России</x:v>
      </x:c>
      <x:c r="M1" s="4" t="str">
        <x:v>Карта конкурентов — Москва и регионы России</x:v>
      </x:c>
    </x:row>
    <x:row r="2" ht="32" customHeight="1">
      <x:c r="A2" s="8" t="str">
        <x:v>25 значимых примеров вне углублённой выборки Санкт-Петербурга.</x:v>
      </x:c>
      <x:c r="B2" s="8" t="str">
        <x:v>25 значимых примеров вне углублённой выборки Санкт-Петербурга.</x:v>
      </x:c>
      <x:c r="C2" s="8" t="str">
        <x:v>25 значимых примеров вне углублённой выборки Санкт-Петербурга.</x:v>
      </x:c>
      <x:c r="D2" s="8" t="str">
        <x:v>25 значимых примеров вне углублённой выборки Санкт-Петербурга.</x:v>
      </x:c>
      <x:c r="E2" s="8" t="str">
        <x:v>25 значимых примеров вне углублённой выборки Санкт-Петербурга.</x:v>
      </x:c>
      <x:c r="F2" s="8" t="str">
        <x:v>25 значимых примеров вне углублённой выборки Санкт-Петербурга.</x:v>
      </x:c>
      <x:c r="G2" s="8" t="str">
        <x:v>25 значимых примеров вне углублённой выборки Санкт-Петербурга.</x:v>
      </x:c>
      <x:c r="H2" s="8" t="str">
        <x:v>25 значимых примеров вне углублённой выборки Санкт-Петербурга.</x:v>
      </x:c>
      <x:c r="I2" s="8" t="str">
        <x:v>25 значимых примеров вне углублённой выборки Санкт-Петербурга.</x:v>
      </x:c>
      <x:c r="J2" s="8" t="str">
        <x:v>25 значимых примеров вне углублённой выборки Санкт-Петербурга.</x:v>
      </x:c>
      <x:c r="K2" s="8" t="str">
        <x:v>25 значимых примеров вне углублённой выборки Санкт-Петербурга.</x:v>
      </x:c>
      <x:c r="L2" s="8" t="str">
        <x:v>25 значимых примеров вне углублённой выборки Санкт-Петербурга.</x:v>
      </x:c>
      <x:c r="M2" s="8" t="str">
        <x:v>25 значимых примеров вне углублённой выборки Санкт-Петербурга.</x:v>
      </x:c>
    </x:row>
    <x:row r="4" ht="30" customHeight="1">
      <x:c r="A4" s="14" t="str">
        <x:v>competitor</x:v>
      </x:c>
      <x:c r="B4" s="14" t="str">
        <x:v>segment</x:v>
      </x:c>
      <x:c r="C4" s="14" t="str">
        <x:v>geography</x:v>
      </x:c>
      <x:c r="D4" s="14" t="str">
        <x:v>format</x:v>
      </x:c>
      <x:c r="E4" s="14" t="str">
        <x:v>age</x:v>
      </x:c>
      <x:c r="F4" s="14" t="str">
        <x:v>public_price</x:v>
      </x:c>
      <x:c r="G4" s="14" t="str">
        <x:v>price_period</x:v>
      </x:c>
      <x:c r="H4" s="14" t="str">
        <x:v>scale</x:v>
      </x:c>
      <x:c r="I4" s="14" t="str">
        <x:v>positioning</x:v>
      </x:c>
      <x:c r="J4" s="14" t="str">
        <x:v>source_url</x:v>
      </x:c>
      <x:c r="K4" s="14" t="str">
        <x:v>source_date_or_period</x:v>
      </x:c>
      <x:c r="L4" s="14" t="str">
        <x:v>confidence</x:v>
      </x:c>
      <x:c r="M4" s="14" t="str">
        <x:v>caveat</x:v>
      </x:c>
    </x:row>
    <x:row r="5">
      <x:c r="A5" s="18" t="str">
        <x:v>Летово</x:v>
      </x:c>
      <x:c r="B5" s="18" t="str">
        <x:v>Private_school</x:v>
      </x:c>
      <x:c r="C5" s="18" t="str">
        <x:v>New Moscow; national intake</x:v>
      </x:c>
      <x:c r="D5" s="18" t="str">
        <x:v>selective boarding school</x:v>
      </x:c>
      <x:c r="E5" s="18" t="str">
        <x:v>grades 7–11; intake 7–9</x:v>
      </x:c>
      <x:c r="F5" s="18" t="str">
        <x:v>2754000 education/10m; boarding 2541000 separate</x:v>
      </x:c>
      <x:c r="G5" s="18" t="str">
        <x:v>2026_27</x:v>
      </x:c>
      <x:c r="H5" s="32" t="str">
        <x:v>one 60ha campus; enrollment NOT_PROVEN</x:v>
      </x:c>
      <x:c r="I5" s="18" t="str">
        <x:v>motivated students; olympiads; means-tested aid</x:v>
      </x:c>
      <x:c r="J5" s="18" t="str">
        <x:v>https://letovo.ru/storage/2826/Prikaz17-ODot20022026pdf.pdf | https://letovo.ru/storage/2827/Prikaz18-ODot20022026pdf.pdf</x:v>
      </x:c>
      <x:c r="K5" s="18" t="str">
        <x:v>orders 2026-02-20</x:v>
      </x:c>
      <x:c r="L5" s="18" t="str">
        <x:v>high</x:v>
      </x:c>
      <x:c r="M5" s="18" t="str">
        <x:v>do not automatically add both prices; scholarship changes effective price</x:v>
      </x:c>
    </x:row>
    <x:row r="6">
      <x:c r="A6" s="18" t="str">
        <x:v>Хорошкола</x:v>
      </x:c>
      <x:c r="B6" s="18" t="str">
        <x:v>Preschool; private_school; additional</x:v>
      </x:c>
      <x:c r="C6" s="18" t="str">
        <x:v>Moscow</x:v>
      </x:c>
      <x:c r="D6" s="18" t="str">
        <x:v>in-person; blended; bilingual; online</x:v>
      </x:c>
      <x:c r="E6" s="18" t="str">
        <x:v>preschool; grades 1–11</x:v>
      </x:c>
      <x:c r="F6" s="32" t="str">
        <x:v>NOT_PROVEN</x:v>
      </x:c>
      <x:c r="G6" s="18" t="str">
        <x:v>2026_27</x:v>
      </x:c>
      <x:c r="H6" s="18" t="str">
        <x:v>3 official addresses</x:v>
      </x:c>
      <x:c r="I6" s="18" t="str">
        <x:v>integrated ecosystem; bilingual and specialist tracks</x:v>
      </x:c>
      <x:c r="J6" s="18" t="str">
        <x:v>https://hi.horoshkola.ru/price-and-grant</x:v>
      </x:c>
      <x:c r="K6" s="18" t="str">
        <x:v>access 2026-07-25</x:v>
      </x:c>
      <x:c r="L6" s="18" t="str">
        <x:v>medium</x:v>
      </x:c>
      <x:c r="M6" s="18" t="str">
        <x:v>7000 is diagnostic, not tuition; price released after lead form</x:v>
      </x:c>
    </x:row>
    <x:row r="7">
      <x:c r="A7" s="18" t="str">
        <x:v>Новая школа</x:v>
      </x:c>
      <x:c r="B7" s="18" t="str">
        <x:v>Private_school; additional</x:v>
      </x:c>
      <x:c r="C7" s="18" t="str">
        <x:v>Moscow</x:v>
      </x:c>
      <x:c r="D7" s="18" t="str">
        <x:v>in-person; second shift; mixed; distance</x:v>
      </x:c>
      <x:c r="E7" s="18" t="str">
        <x:v>grades 1–11; clubs 3+</x:v>
      </x:c>
      <x:c r="F7" s="18" t="str">
        <x:v>400000–1180000/year depending on format</x:v>
      </x:c>
      <x:c r="G7" s="18" t="str">
        <x:v>2026_27</x:v>
      </x:c>
      <x:c r="H7" s="18" t="str">
        <x:v>579 learners in formal programmes</x:v>
      </x:c>
      <x:c r="I7" s="18" t="str">
        <x:v>tutoring; projects; rich after-school; scholarships</x:v>
      </x:c>
      <x:c r="J7" s="18" t="str">
        <x:v>https://home.n.school/grant | https://home.n.school/obrazovanie</x:v>
      </x:c>
      <x:c r="K7" s="18" t="str">
        <x:v>2026_27</x:v>
      </x:c>
      <x:c r="L7" s="18" t="str">
        <x:v>high</x:v>
      </x:c>
      <x:c r="M7" s="18" t="str">
        <x:v>400000 is fully distance Mix, not in-person</x:v>
      </x:c>
    </x:row>
    <x:row r="8">
      <x:c r="A8" s="18" t="str">
        <x:v>Европейская гимназия</x:v>
      </x:c>
      <x:c r="B8" s="18" t="str">
        <x:v>Preschool; private_school</x:v>
      </x:c>
      <x:c r="C8" s="18" t="str">
        <x:v>Moscow</x:v>
      </x:c>
      <x:c r="D8" s="18" t="str">
        <x:v>in-person; hybrid; online</x:v>
      </x:c>
      <x:c r="E8" s="18" t="str">
        <x:v>ages 3–18; grades 1–11</x:v>
      </x:c>
      <x:c r="F8" s="18" t="str">
        <x:v>783000–1230000/year in Forbes profile; current official amount not extracted</x:v>
      </x:c>
      <x:c r="G8" s="18" t="str">
        <x:v>2026_27</x:v>
      </x:c>
      <x:c r="H8" s="18" t="str">
        <x:v>449 official learners at 2025-09-13; Forbes 568</x:v>
      </x:c>
      <x:c r="I8" s="18" t="str">
        <x:v>Russian/international practice; FGOS; English tracks</x:v>
      </x:c>
      <x:c r="J8" s="18" t="str">
        <x:v>https://eurogym.ru/paid | https://www.forbes.ru/profile/502735-evropejskaa-gimnazia</x:v>
      </x:c>
      <x:c r="K8" s="18" t="str">
        <x:v>official enrollment 2025-09-13</x:v>
      </x:c>
      <x:c r="L8" s="18" t="str">
        <x:v>medium</x:v>
      </x:c>
      <x:c r="M8" s="18" t="str">
        <x:v>official and Forbes enrollment conflict; price needs order check</x:v>
      </x:c>
    </x:row>
    <x:row r="9">
      <x:c r="A9" s="18" t="str">
        <x:v>Павловская гимназия</x:v>
      </x:c>
      <x:c r="B9" s="18" t="str">
        <x:v>Preschool; private_school</x:v>
      </x:c>
      <x:c r="C9" s="18" t="str">
        <x:v>Moscow Oblast; Istra</x:v>
      </x:c>
      <x:c r="D9" s="18" t="str">
        <x:v>in-person education complex</x:v>
      </x:c>
      <x:c r="E9" s="18" t="str">
        <x:v>preschool; grades 1–11</x:v>
      </x:c>
      <x:c r="F9" s="18" t="str">
        <x:v>2150000/year; first year 2250000</x:v>
      </x:c>
      <x:c r="G9" s="18" t="str">
        <x:v>2025_26</x:v>
      </x:c>
      <x:c r="H9" s="18" t="str">
        <x:v>one suburban complex</x:v>
      </x:c>
      <x:c r="I9" s="18" t="str">
        <x:v>full cycle; infrastructure; sport; modules</x:v>
      </x:c>
      <x:c r="J9" s="18" t="str">
        <x:v>https://www.pavlovo-school.ru/upload/iblock/750/tn1t9bmd1its24222cvndeode9ot7a3a/2025_2026_PREYSKURANT-OSNOVNOE-OBRAZOVANIE.pdf</x:v>
      </x:c>
      <x:c r="K9" s="18" t="str">
        <x:v>2025_26</x:v>
      </x:c>
      <x:c r="L9" s="18" t="str">
        <x:v>medium</x:v>
      </x:c>
      <x:c r="M9" s="32" t="str">
        <x:v>2026/27 tariff NOT_PROVEN</x:v>
      </x:c>
    </x:row>
    <x:row r="10">
      <x:c r="A10" s="18" t="str">
        <x:v>Wunderpark International School</x:v>
      </x:c>
      <x:c r="B10" s="18" t="str">
        <x:v>Preschool; private_school</x:v>
      </x:c>
      <x:c r="C10" s="18" t="str">
        <x:v>Moscow Oblast; Novorizhskoe</x:v>
      </x:c>
      <x:c r="D10" s="18" t="str">
        <x:v>in-person bilingual complex</x:v>
      </x:c>
      <x:c r="E10" s="18" t="str">
        <x:v>ages 2–18</x:v>
      </x:c>
      <x:c r="F10" s="18" t="str">
        <x:v>1935000/year for grade 11</x:v>
      </x:c>
      <x:c r="G10" s="18" t="str">
        <x:v>from 2026-09-01</x:v>
      </x:c>
      <x:c r="H10" s="32" t="str">
        <x:v>one campus; enrollment NOT_PROVEN</x:v>
      </x:c>
      <x:c r="I10" s="18" t="str">
        <x:v>bilingual environment; international methods</x:v>
      </x:c>
      <x:c r="J10" s="18" t="str">
        <x:v>https://wunderpark.ru/files/gianew/%D0%A1%D1%82%D0%BE%D0%B8%D0%BC%D0%BE%D1%81%D1%82%D1%8C%20%D0%BF%D0%BB%D0%B0%D1%82%D0%BD%D1%8B%D1%85%20%D1%83%D1%81%D0%BB%D1%83%D0%B3%20%D1%81%2001.09.26.pdf</x:v>
      </x:c>
      <x:c r="K10" s="18" t="str">
        <x:v>tariff from 2026-09-01</x:v>
      </x:c>
      <x:c r="L10" s="18" t="str">
        <x:v>high</x:v>
      </x:c>
      <x:c r="M10" s="18" t="str">
        <x:v>only grade-11 price extracted</x:v>
      </x:c>
    </x:row>
    <x:row r="11">
      <x:c r="A11" s="18" t="str">
        <x:v>Discovery</x:v>
      </x:c>
      <x:c r="B11" s="18" t="str">
        <x:v>Private_preschool; primary</x:v>
      </x:c>
      <x:c r="C11" s="18" t="str">
        <x:v>Moscow; Moscow Oblast; other cities</x:v>
      </x:c>
      <x:c r="D11" s="18" t="str">
        <x:v>full/half day; bilingual; franchise</x:v>
      </x:c>
      <x:c r="E11" s="18" t="str">
        <x:v>selected model ages 2–7</x:v>
      </x:c>
      <x:c r="F11" s="18" t="str">
        <x:v>89900/month full; 69900 half; 29900 week</x:v>
      </x:c>
      <x:c r="G11" s="18" t="str">
        <x:v>access 2026-07-25</x:v>
      </x:c>
      <x:c r="H11" s="18" t="str">
        <x:v>37+ branches; 2000+ children company claim</x:v>
      </x:c>
      <x:c r="I11" s="18" t="str">
        <x:v>bilingual; author programme; safe full day</x:v>
      </x:c>
      <x:c r="J11" s="18" t="str">
        <x:v>https://discoveryschool.ru/clubs/city-discovery-degunino/ | https://discoveryschool.ru/franchise/</x:v>
      </x:c>
      <x:c r="K11" s="18" t="str">
        <x:v>access 2026-07-25</x:v>
      </x:c>
      <x:c r="L11" s="18" t="str">
        <x:v>medium</x:v>
      </x:c>
      <x:c r="M11" s="18" t="str">
        <x:v>price is one Degunino branch; network includes SPb</x:v>
      </x:c>
    </x:row>
    <x:row r="12">
      <x:c r="A12" s="18" t="str">
        <x:v>English Nursery &amp; Primary School</x:v>
      </x:c>
      <x:c r="B12" s="18" t="str">
        <x:v>Private_preschool; primary</x:v>
      </x:c>
      <x:c r="C12" s="18" t="str">
        <x:v>Moscow; Moscow Oblast</x:v>
      </x:c>
      <x:c r="D12" s="18" t="str">
        <x:v>English/bilingual full day</x:v>
      </x:c>
      <x:c r="E12" s="18" t="str">
        <x:v>approx 2–14 by branch</x:v>
      </x:c>
      <x:c r="F12" s="32" t="str">
        <x:v>NOT_PROVEN</x:v>
      </x:c>
      <x:c r="G12" s="18" t="str">
        <x:v>2026_27</x:v>
      </x:c>
      <x:c r="H12" s="18" t="str">
        <x:v>5 locations</x:v>
      </x:c>
      <x:c r="I12" s="18" t="str">
        <x:v>English immersion; EYFS/English National Curriculum plus Russian programme</x:v>
      </x:c>
      <x:c r="J12" s="18" t="str">
        <x:v>https://englishnursery.ru/</x:v>
      </x:c>
      <x:c r="K12" s="18" t="str">
        <x:v>intake 2026_27</x:v>
      </x:c>
      <x:c r="L12" s="18" t="str">
        <x:v>medium</x:v>
      </x:c>
      <x:c r="M12" s="18" t="str">
        <x:v>official site requests price by phone</x:v>
      </x:c>
    </x:row>
    <x:row r="13">
      <x:c r="A13" s="18" t="str">
        <x:v>Sun School</x:v>
      </x:c>
      <x:c r="B13" s="18" t="str">
        <x:v>Private_preschool; primary</x:v>
      </x:c>
      <x:c r="C13" s="18" t="str">
        <x:v>Moscow and Russian regions</x:v>
      </x:c>
      <x:c r="D13" s="18" t="str">
        <x:v>full day; bilingual; franchise</x:v>
      </x:c>
      <x:c r="E13" s="18" t="str">
        <x:v>usually 1.5–7; summer to 10</x:v>
      </x:c>
      <x:c r="F13" s="32" t="str">
        <x:v>NOT_PROVEN</x:v>
      </x:c>
      <x:c r="G13" s="18" t="str">
        <x:v>access 2026-07-25</x:v>
      </x:c>
      <x:c r="H13" s="18" t="str">
        <x:v>120 preschools by Forbes May 2026</x:v>
      </x:c>
      <x:c r="I13" s="18" t="str">
        <x:v>English; CCTV; insurance; standardized franchise</x:v>
      </x:c>
      <x:c r="J13" s="18" t="str">
        <x:v>https://sunschool.ru/ | https://www.forbes.ru/profile/363743-sun-school</x:v>
      </x:c>
      <x:c r="K13" s="18" t="str">
        <x:v>May 2026 scale</x:v>
      </x:c>
      <x:c r="L13" s="18" t="str">
        <x:v>medium</x:v>
      </x:c>
      <x:c r="M13" s="18" t="str">
        <x:v>prices hidden by branch; scale from Forbes</x:v>
      </x:c>
    </x:row>
    <x:row r="14">
      <x:c r="A14" s="18" t="str">
        <x:v>Согласие</x:v>
      </x:c>
      <x:c r="B14" s="18" t="str">
        <x:v>Private_primary_school</x:v>
      </x:c>
      <x:c r="C14" s="18" t="str">
        <x:v>Yekaterinburg</x:v>
      </x:c>
      <x:c r="D14" s="18" t="str">
        <x:v>full/partial day</x:v>
      </x:c>
      <x:c r="E14" s="18" t="str">
        <x:v>grades 1–4</x:v>
      </x:c>
      <x:c r="F14" s="18" t="str">
        <x:v>40000–45000/month full; 35000 partial; food 700–800/day</x:v>
      </x:c>
      <x:c r="G14" s="18" t="str">
        <x:v>2026_27</x:v>
      </x:c>
      <x:c r="H14" s="18" t="str">
        <x:v>4 addresses in tariff</x:v>
      </x:c>
      <x:c r="I14" s="18" t="str">
        <x:v>near-home full-day primary</x:v>
      </x:c>
      <x:c r="J14" s="18" t="str">
        <x:v>https://soglasie.school/</x:v>
      </x:c>
      <x:c r="K14" s="18" t="str">
        <x:v>2026_27</x:v>
      </x:c>
      <x:c r="L14" s="18" t="str">
        <x:v>high</x:v>
      </x:c>
      <x:c r="M14" s="18" t="str">
        <x:v>food extra; price differs by site</x:v>
      </x:c>
    </x:row>
    <x:row r="15">
      <x:c r="A15" s="18" t="str">
        <x:v>Эврика</x:v>
      </x:c>
      <x:c r="B15" s="18" t="str">
        <x:v>Family_private_school; camp</x:v>
      </x:c>
      <x:c r="C15" s="18" t="str">
        <x:v>Yekaterinburg</x:v>
      </x:c>
      <x:c r="D15" s="18" t="str">
        <x:v>in-person family-form; aftercare; seasonal</x:v>
      </x:c>
      <x:c r="E15" s="18" t="str">
        <x:v>ages 6–18</x:v>
      </x:c>
      <x:c r="F15" s="18" t="str">
        <x:v>30900–45000/month; entry 130000; aftercare extra</x:v>
      </x:c>
      <x:c r="G15" s="18" t="str">
        <x:v>from 2026-05-15</x:v>
      </x:c>
      <x:c r="H15" s="18" t="str">
        <x:v>2 addresses; groups up to 10</x:v>
      </x:c>
      <x:c r="I15" s="18" t="str">
        <x:v>small groups; FGOS; project assessment; exams</x:v>
      </x:c>
      <x:c r="J15" s="18" t="str">
        <x:v>https://eureka-ekb.ru/</x:v>
      </x:c>
      <x:c r="K15" s="18" t="str">
        <x:v>tariffs from 2026-05-15</x:v>
      </x:c>
      <x:c r="L15" s="18" t="str">
        <x:v>high</x:v>
      </x:c>
      <x:c r="M15" s="18" t="str">
        <x:v>older prices remain in FAQ; current tariff block takes priority</x:v>
      </x:c>
    </x:row>
    <x:row r="16">
      <x:c r="A16" s="18" t="str">
        <x:v>ТриНити</x:v>
      </x:c>
      <x:c r="B16" s="18" t="str">
        <x:v>Family_private_school; prep; camp</x:v>
      </x:c>
      <x:c r="C16" s="18" t="str">
        <x:v>Kazan</x:v>
      </x:c>
      <x:c r="D16" s="18" t="str">
        <x:v>full day; family-form</x:v>
      </x:c>
      <x:c r="E16" s="18" t="str">
        <x:v>grades 0–9</x:v>
      </x:c>
      <x:c r="F16" s="18" t="str">
        <x:v>60000/month grade 0; 70000 grades 1–4; 74000 grades 5–9; annual fee 80000</x:v>
      </x:c>
      <x:c r="G16" s="18" t="str">
        <x:v>access 2026-07-25</x:v>
      </x:c>
      <x:c r="H16" s="18" t="str">
        <x:v>one site</x:v>
      </x:c>
      <x:c r="I16" s="18" t="str">
        <x:v>English/Chinese; IT; Singapore maths; mentor</x:v>
      </x:c>
      <x:c r="J16" s="18" t="str">
        <x:v>https://xn--80aqaaggqeute6d.xn--p1ai/services/</x:v>
      </x:c>
      <x:c r="K16" s="18" t="str">
        <x:v>access 2026-07-25</x:v>
      </x:c>
      <x:c r="L16" s="18" t="str">
        <x:v>high</x:v>
      </x:c>
      <x:c r="M16" s="18" t="str">
        <x:v>family education; some summer months paid</x:v>
      </x:c>
    </x:row>
    <x:row r="17">
      <x:c r="A17" s="18" t="str">
        <x:v>Источник Знаний</x:v>
      </x:c>
      <x:c r="B17" s="18" t="str">
        <x:v>Private_school</x:v>
      </x:c>
      <x:c r="C17" s="18" t="str">
        <x:v>Rostov_on_Don</x:v>
      </x:c>
      <x:c r="D17" s="18" t="str">
        <x:v>in-person; distance; correspondence</x:v>
      </x:c>
      <x:c r="E17" s="18" t="str">
        <x:v>grades 1–11</x:v>
      </x:c>
      <x:c r="F17" s="18" t="str">
        <x:v>35000–50000/month in-person; food 21000/month; admin fee 40000</x:v>
      </x:c>
      <x:c r="G17" s="18" t="str">
        <x:v>2026_27</x:v>
      </x:c>
      <x:c r="H17" s="18" t="str">
        <x:v>one in-person site</x:v>
      </x:c>
      <x:c r="I17" s="18" t="str">
        <x:v>full cycle; lyceum classes; distance platforms</x:v>
      </x:c>
      <x:c r="J17" s="18" t="str">
        <x:v>https://xn--80ancacgdwdbe9an5e.xn--p1ai/price</x:v>
      </x:c>
      <x:c r="K17" s="18" t="str">
        <x:v>2026_27</x:v>
      </x:c>
      <x:c r="L17" s="18" t="str">
        <x:v>high</x:v>
      </x:c>
      <x:c r="M17" s="18" t="str">
        <x:v>books extra; information not a public offer</x:v>
      </x:c>
    </x:row>
    <x:row r="18">
      <x:c r="A18" s="18" t="str">
        <x:v>TOP IT SCHOOL</x:v>
      </x:c>
      <x:c r="B18" s="18" t="str">
        <x:v>Private_school; prep; online</x:v>
      </x:c>
      <x:c r="C18" s="18" t="str">
        <x:v>Kazan and regional network</x:v>
      </x:c>
      <x:c r="D18" s="18" t="str">
        <x:v>in-person full day; online</x:v>
      </x:c>
      <x:c r="E18" s="18" t="str">
        <x:v>ages 5–17; grades 1–11</x:v>
      </x:c>
      <x:c r="F18" s="18" t="str">
        <x:v>from 56800/month in-person; prep 6300; online from 1500</x:v>
      </x:c>
      <x:c r="G18" s="18" t="str">
        <x:v>2026_27</x:v>
      </x:c>
      <x:c r="H18" s="18" t="str">
        <x:v>3500+ families company claim</x:v>
      </x:c>
      <x:c r="I18" s="18" t="str">
        <x:v>core subjects plus IT, English, soft skills</x:v>
      </x:c>
      <x:c r="J18" s="18" t="str">
        <x:v>https://topitschool.ru/kazan | https://topitschool.ru/moscow</x:v>
      </x:c>
      <x:c r="K18" s="18" t="str">
        <x:v>2026_27</x:v>
      </x:c>
      <x:c r="L18" s="18" t="str">
        <x:v>high</x:v>
      </x:c>
      <x:c r="M18" s="18" t="str">
        <x:v>online price not comparable with in-person; scale is self-report</x:v>
      </x:c>
    </x:row>
    <x:row r="19">
      <x:c r="A19" s="18" t="str">
        <x:v>Фоксфорд</x:v>
      </x:c>
      <x:c r="B19" s="18" t="str">
        <x:v>Online_school; courses; exams</x:v>
      </x:c>
      <x:c r="C19" s="18" t="str">
        <x:v>Russia online</x:v>
      </x:c>
      <x:c r="D19" s="18" t="str">
        <x:v>home school; live courses; subscription</x:v>
      </x:c>
      <x:c r="E19" s="18" t="str">
        <x:v>preschool; grades 1–11</x:v>
      </x:c>
      <x:c r="F19" s="18" t="str">
        <x:v>home school from 3950/month; example course 38080/9m</x:v>
      </x:c>
      <x:c r="G19" s="18" t="str">
        <x:v>2026_27</x:v>
      </x:c>
      <x:c r="H19" s="32" t="str">
        <x:v>national model; active learners NOT_PROVEN</x:v>
      </x:c>
      <x:c r="I19" s="18" t="str">
        <x:v>home school; subjects; olympiads; exams</x:v>
      </x:c>
      <x:c r="J19" s="18" t="str">
        <x:v>https://externat.foxford.ru/faq/skolko-stoit-obuchenie-v-domashnej-onlajn-shkole-foksforda | https://foxford.ru/catalog/courses/8-klass</x:v>
      </x:c>
      <x:c r="K19" s="18" t="str">
        <x:v>access 2026-07-25</x:v>
      </x:c>
      <x:c r="L19" s="18" t="str">
        <x:v>medium</x:v>
      </x:c>
      <x:c r="M19" s="18" t="str">
        <x:v>price depends on grade, support and dynamic discounts</x:v>
      </x:c>
    </x:row>
    <x:row r="20">
      <x:c r="A20" s="18" t="str">
        <x:v>Домашний лицей Skysmart</x:v>
      </x:c>
      <x:c r="B20" s="18" t="str">
        <x:v>Online_school; tutoring</x:v>
      </x:c>
      <x:c r="C20" s="18" t="str">
        <x:v>Russia online</x:v>
      </x:c>
      <x:c r="D20" s="18" t="str">
        <x:v>live group and individual</x:v>
      </x:c>
      <x:c r="E20" s="18" t="str">
        <x:v>grades 5–11; other courses 4+</x:v>
      </x:c>
      <x:c r="F20" s="18" t="str">
        <x:v>from 8716/month home lyceum; group English from 6215/month</x:v>
      </x:c>
      <x:c r="G20" s="18" t="n">
        <x:v>2026</x:v>
      </x:c>
      <x:c r="H20" s="32" t="str">
        <x:v>national model; learners NOT_PROVEN</x:v>
      </x:c>
      <x:c r="I20" s="18" t="str">
        <x:v>online school; interactive lessons; curator; partner attestation</x:v>
      </x:c>
      <x:c r="J20" s="18" t="str">
        <x:v>https://homeschooling.skysmart.ru/luchshie-onlain-shkoly | https://english.skysmart.ru/price</x:v>
      </x:c>
      <x:c r="K20" s="18" t="str">
        <x:v>2026-06-09 and access 2026-07-25</x:v>
      </x:c>
      <x:c r="L20" s="18" t="str">
        <x:v>medium</x:v>
      </x:c>
      <x:c r="M20" s="18" t="str">
        <x:v>8716 shown on Skysmart comparison page; packages vary</x:v>
      </x:c>
    </x:row>
    <x:row r="21">
      <x:c r="A21" s="18" t="str">
        <x:v>Умскул</x:v>
      </x:c>
      <x:c r="B21" s="18" t="str">
        <x:v>Exam_prep</x:v>
      </x:c>
      <x:c r="C21" s="18" t="str">
        <x:v>Russia online</x:v>
      </x:c>
      <x:c r="D21" s="18" t="str">
        <x:v>webinars; recordings; curator; bundles</x:v>
      </x:c>
      <x:c r="E21" s="18" t="str">
        <x:v>grades 9–11</x:v>
      </x:c>
      <x:c r="F21" s="18" t="str">
        <x:v>promo from 6510 for four-subject course</x:v>
      </x:c>
      <x:c r="G21" s="18" t="str">
        <x:v>access 2026-07-25</x:v>
      </x:c>
      <x:c r="H21" s="32" t="str">
        <x:v>national model; active learners NOT_PROVEN</x:v>
      </x:c>
      <x:c r="I21" s="18" t="str">
        <x:v>EGE 90+ / OGE grade 5 from any starting point</x:v>
      </x:c>
      <x:c r="J21" s="18" t="str">
        <x:v>https://umschool.net/</x:v>
      </x:c>
      <x:c r="K21" s="18" t="str">
        <x:v>access 2026-07-25</x:v>
      </x:c>
      <x:c r="L21" s="18" t="str">
        <x:v>medium</x:v>
      </x:c>
      <x:c r="M21" s="18" t="str">
        <x:v>promotional price; regular tariff and terms require check</x:v>
      </x:c>
    </x:row>
    <x:row r="22">
      <x:c r="A22" s="18" t="str">
        <x:v>MAXIMUM Education</x:v>
      </x:c>
      <x:c r="B22" s="18" t="str">
        <x:v>Exam_prep; career_guidance</x:v>
      </x:c>
      <x:c r="C22" s="18" t="str">
        <x:v>Russia; online and centres</x:v>
      </x:c>
      <x:c r="D22" s="18" t="str">
        <x:v>webinars; online groups; classroom</x:v>
      </x:c>
      <x:c r="E22" s="18" t="str">
        <x:v>mainly grades 7–11</x:v>
      </x:c>
      <x:c r="F22" s="18" t="str">
        <x:v>from 4000×12m webinars; from 11700×12m mini-group</x:v>
      </x:c>
      <x:c r="G22" s="18" t="str">
        <x:v>2026_27</x:v>
      </x:c>
      <x:c r="H22" s="32" t="str">
        <x:v>federal multiformat; centre count NOT_PROVEN</x:v>
      </x:c>
      <x:c r="I22" s="18" t="str">
        <x:v>exam prep; homework; mock tests; personal support</x:v>
      </x:c>
      <x:c r="J22" s="18" t="str">
        <x:v>https://maximumtest.ru/promo/podgotovka</x:v>
      </x:c>
      <x:c r="K22" s="18" t="str">
        <x:v>access 2026-07-25</x:v>
      </x:c>
      <x:c r="L22" s="18" t="str">
        <x:v>high</x:v>
      </x:c>
      <x:c r="M22" s="18" t="str">
        <x:v>discounted price; final amount depends on format/subjects</x:v>
      </x:c>
    </x:row>
    <x:row r="23">
      <x:c r="A23" s="18" t="str">
        <x:v>Алгоритмика</x:v>
      </x:c>
      <x:c r="B23" s="18" t="str">
        <x:v>STEM; coding; design</x:v>
      </x:c>
      <x:c r="C23" s="18" t="str">
        <x:v>Russia and international</x:v>
      </x:c>
      <x:c r="D23" s="18" t="str">
        <x:v>in-person and online; small groups</x:v>
      </x:c>
      <x:c r="E23" s="18" t="str">
        <x:v>ages 6–17</x:v>
      </x:c>
      <x:c r="F23" s="32" t="str">
        <x:v>NOT_PROVEN</x:v>
      </x:c>
      <x:c r="G23" s="18" t="str">
        <x:v>access 2026-07-25</x:v>
      </x:c>
      <x:c r="H23" s="32" t="str">
        <x:v>many city sites; active Russian points NOT_PROVEN</x:v>
      </x:c>
      <x:c r="I23" s="18" t="str">
        <x:v>game platform; project coding and digital creativity</x:v>
      </x:c>
      <x:c r="J23" s="18" t="str">
        <x:v>https://algoritmika.org/ru</x:v>
      </x:c>
      <x:c r="K23" s="18" t="str">
        <x:v>access 2026-07-25</x:v>
      </x:c>
      <x:c r="L23" s="18" t="str">
        <x:v>medium</x:v>
      </x:c>
      <x:c r="M23" s="18" t="str">
        <x:v>price generated after city/course/package lead</x:v>
      </x:c>
    </x:row>
    <x:row r="24">
      <x:c r="A24" s="18" t="str">
        <x:v>CODDY</x:v>
      </x:c>
      <x:c r="B24" s="18" t="str">
        <x:v>STEM; coding; digital creativity</x:v>
      </x:c>
      <x:c r="C24" s="18" t="str">
        <x:v>Moscow and Russian regions; price example Samara</x:v>
      </x:c>
      <x:c r="D24" s="18" t="str">
        <x:v>in-person; online; individual/group</x:v>
      </x:c>
      <x:c r="E24" s="18" t="str">
        <x:v>Samara ages 6–18</x:v>
      </x:c>
      <x:c r="F24" s="18" t="str">
        <x:v>from 5500/month in Samara</x:v>
      </x:c>
      <x:c r="G24" s="18" t="str">
        <x:v>current regional page</x:v>
      </x:c>
      <x:c r="H24" s="32" t="str">
        <x:v>multi-city; active point count NOT_PROVEN</x:v>
      </x:c>
      <x:c r="I24" s="18" t="str">
        <x:v>games, sites, apps, design thinking</x:v>
      </x:c>
      <x:c r="J24" s="18" t="str">
        <x:v>https://samara.coddyschool.com/ | https://coddyschool.com/</x:v>
      </x:c>
      <x:c r="K24" s="18" t="str">
        <x:v>access 2026-07-25</x:v>
      </x:c>
      <x:c r="L24" s="18" t="str">
        <x:v>medium</x:v>
      </x:c>
      <x:c r="M24" s="18" t="str">
        <x:v>regional price not transferable to Moscow</x:v>
      </x:c>
    </x:row>
    <x:row r="25">
      <x:c r="A25" s="18" t="str">
        <x:v>IQ007</x:v>
      </x:c>
      <x:c r="B25" s="18" t="str">
        <x:v>Intelligence; school_prep; additional</x:v>
      </x:c>
      <x:c r="C25" s="18" t="str">
        <x:v>Moscow and 295 cities</x:v>
      </x:c>
      <x:c r="D25" s="18" t="str">
        <x:v>offline network; group/individual</x:v>
      </x:c>
      <x:c r="E25" s="18" t="str">
        <x:v>age 4+</x:v>
      </x:c>
      <x:c r="F25" s="18" t="str">
        <x:v>14400/8 or 21600/12 monthly at Solntsevo</x:v>
      </x:c>
      <x:c r="G25" s="18" t="str">
        <x:v>price from 2025-08-01</x:v>
      </x:c>
      <x:c r="H25" s="18" t="str">
        <x:v>680 branches in 295 cities and 7 countries company claim</x:v>
      </x:c>
      <x:c r="I25" s="18" t="str">
        <x:v>speed reading; writing; maths; school prep; coding</x:v>
      </x:c>
      <x:c r="J25" s="18" t="str">
        <x:v>https://iq007.ru/ | https://iq007.ru/docs/68b56086dd876637104748.pdf</x:v>
      </x:c>
      <x:c r="K25" s="18" t="str">
        <x:v>price from 2025-08-01</x:v>
      </x:c>
      <x:c r="L25" s="18" t="str">
        <x:v>medium</x:v>
      </x:c>
      <x:c r="M25" s="18" t="str">
        <x:v>price is one Moscow franchise; network prices vary</x:v>
      </x:c>
    </x:row>
    <x:row r="26">
      <x:c r="A26" s="18" t="str">
        <x:v>AMAkids</x:v>
      </x:c>
      <x:c r="B26" s="18" t="str">
        <x:v>Intelligence; maths; languages; school_prep</x:v>
      </x:c>
      <x:c r="C26" s="18" t="str">
        <x:v>Russia network and online</x:v>
      </x:c>
      <x:c r="D26" s="18" t="str">
        <x:v>in-person/online; small groups</x:v>
      </x:c>
      <x:c r="E26" s="18" t="str">
        <x:v>ages 5–16 by course</x:v>
      </x:c>
      <x:c r="F26" s="18" t="str">
        <x:v>from 1105 per online preschool class</x:v>
      </x:c>
      <x:c r="G26" s="18" t="str">
        <x:v>access 2026-07-25</x:v>
      </x:c>
      <x:c r="H26" s="32" t="str">
        <x:v>multi-city; active centre count NOT_PROVEN</x:v>
      </x:c>
      <x:c r="I26" s="18" t="str">
        <x:v>game platform; mental arithmetic; maths; reading; memory; English</x:v>
      </x:c>
      <x:c r="J26" s="18" t="str">
        <x:v>https://amakids.ru/programm/preschool-online | https://amakids.com/ru/contacts/</x:v>
      </x:c>
      <x:c r="K26" s="18" t="str">
        <x:v>access 2026-07-25</x:v>
      </x:c>
      <x:c r="L26" s="18" t="str">
        <x:v>medium</x:v>
      </x:c>
      <x:c r="M26" s="18" t="str">
        <x:v>price found only for one online product</x:v>
      </x:c>
    </x:row>
    <x:row r="27">
      <x:c r="A27" s="18" t="str">
        <x:v>Art Discovery</x:v>
      </x:c>
      <x:c r="B27" s="18" t="str">
        <x:v>Arts; ceramics; camps</x:v>
      </x:c>
      <x:c r="C27" s="18" t="str">
        <x:v>Moscow; seasonal Seliger</x:v>
      </x:c>
      <x:c r="D27" s="18" t="str">
        <x:v>7 studios; online; camps</x:v>
      </x:c>
      <x:c r="E27" s="18" t="str">
        <x:v>age 5+; academic 12+</x:v>
      </x:c>
      <x:c r="F27" s="32" t="str">
        <x:v>regular NOT_PROVEN; camp child programme 20000 plus lodging</x:v>
      </x:c>
      <x:c r="G27" s="18" t="str">
        <x:v>summer_2026</x:v>
      </x:c>
      <x:c r="H27" s="18" t="str">
        <x:v>7 studios; 700+ monthly students company claim</x:v>
      </x:c>
      <x:c r="I27" s="18" t="str">
        <x:v>academic and hobby tracks; ceramics; design; portfolio prep</x:v>
      </x:c>
      <x:c r="J27" s="18" t="str">
        <x:v>https://artdiscovery.club/ | https://artdiscovery.club/seliger2</x:v>
      </x:c>
      <x:c r="K27" s="18" t="str">
        <x:v>summer 2026</x:v>
      </x:c>
      <x:c r="L27" s="18" t="str">
        <x:v>medium</x:v>
      </x:c>
      <x:c r="M27" s="18" t="str">
        <x:v>regular subscription hidden; scale and 93% referral are self-report</x:v>
      </x:c>
    </x:row>
    <x:row r="28">
      <x:c r="A28" s="18" t="str">
        <x:v>Sing &amp; Play</x:v>
      </x:c>
      <x:c r="B28" s="18" t="str">
        <x:v>Music; vocal; acting</x:v>
      </x:c>
      <x:c r="C28" s="18" t="str">
        <x:v>Moscow</x:v>
      </x:c>
      <x:c r="D28" s="18" t="str">
        <x:v>individual and mini-groups; in-person/online</x:v>
      </x:c>
      <x:c r="E28" s="18" t="str">
        <x:v>children, teens, adults</x:v>
      </x:c>
      <x:c r="F28" s="18" t="str">
        <x:v>from 17690/month in-person; 14100 online; trial 1000</x:v>
      </x:c>
      <x:c r="G28" s="18" t="str">
        <x:v>access 2026-07-25</x:v>
      </x:c>
      <x:c r="H28" s="18" t="str">
        <x:v>2 branches; 2000 students company claim</x:v>
      </x:c>
      <x:c r="I28" s="18" t="str">
        <x:v>individual plan; preferred repertoire; performances</x:v>
      </x:c>
      <x:c r="J28" s="18" t="str">
        <x:v>https://singplay.ru/o-shkole/czeny | https://singplay.ru/detyam</x:v>
      </x:c>
      <x:c r="K28" s="18" t="str">
        <x:v>access 2026-07-25</x:v>
      </x:c>
      <x:c r="L28" s="18" t="str">
        <x:v>high</x:v>
      </x:c>
      <x:c r="M28" s="18" t="str">
        <x:v>monthly amount depends on lesson count; 2000 not active base</x:v>
      </x:c>
    </x:row>
    <x:row r="29">
      <x:c r="A29" s="18" t="str">
        <x:v>Виртуозы Москва</x:v>
      </x:c>
      <x:c r="B29" s="18" t="str">
        <x:v>Music; vocal</x:v>
      </x:c>
      <x:c r="C29" s="18" t="str">
        <x:v>Moscow</x:v>
      </x:c>
      <x:c r="D29" s="18" t="str">
        <x:v>individual in-person/online</x:v>
      </x:c>
      <x:c r="E29" s="18" t="str">
        <x:v>early development 2–3+; vocal 5+</x:v>
      </x:c>
      <x:c r="F29" s="18" t="str">
        <x:v>11600/4; 21600/8; 59200/24; 55-min lesson</x:v>
      </x:c>
      <x:c r="G29" s="18" t="str">
        <x:v>access 2026-07-25</x:v>
      </x:c>
      <x:c r="H29" s="18" t="str">
        <x:v>4 listed Moscow sites; 1500 regular students company claim</x:v>
      </x:c>
      <x:c r="I29" s="18" t="str">
        <x:v>modern music; individual programme; public performance</x:v>
      </x:c>
      <x:c r="J29" s="18" t="str">
        <x:v>https://virtuozy-msk.ru/courses/uroki-vokala-dlya-detey/ | https://virtuozy-msk.ru/courses/muzykalnoe-razvitie-detey/</x:v>
      </x:c>
      <x:c r="K29" s="18" t="str">
        <x:v>access 2026-07-25</x:v>
      </x:c>
      <x:c r="L29" s="18" t="str">
        <x:v>high</x:v>
      </x:c>
      <x:c r="M29" s="18" t="str">
        <x:v>vocal price; instruments may differ; enrollment is self-report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8" hidden="0" customWidth="1"/>
    <x:col min="3" max="3" width="20" hidden="0" customWidth="1"/>
    <x:col min="4" max="4" width="24" hidden="0" customWidth="1"/>
    <x:col min="5" max="5" width="38" hidden="0" customWidth="1"/>
    <x:col min="6" max="6" width="33" hidden="0" customWidth="1"/>
    <x:col min="7" max="7" width="36" hidden="0" customWidth="1"/>
    <x:col min="8" max="8" width="36" hidden="0" customWidth="1"/>
    <x:col min="9" max="9" width="48" hidden="0" customWidth="1"/>
    <x:col min="10" max="10" width="18" hidden="0" customWidth="1"/>
    <x:col min="11" max="11" width="15" hidden="0" customWidth="1"/>
    <x:col min="12" max="12" width="45" hidden="0" customWidth="1"/>
    <x:col min="13" max="13" width="45" hidden="0" customWidth="1"/>
  </x:cols>
  <x:sheetData>
    <x:row r="1" ht="30" customHeight="1">
      <x:c r="A1" s="4" t="str">
        <x:v>Международные модели</x:v>
      </x:c>
      <x:c r="B1" s="4" t="str">
        <x:v>Международные модели</x:v>
      </x:c>
      <x:c r="C1" s="4" t="str">
        <x:v>Международные модели</x:v>
      </x:c>
      <x:c r="D1" s="4" t="str">
        <x:v>Международные модели</x:v>
      </x:c>
      <x:c r="E1" s="4" t="str">
        <x:v>Международные модели</x:v>
      </x:c>
      <x:c r="F1" s="4" t="str">
        <x:v>Международные модели</x:v>
      </x:c>
      <x:c r="G1" s="4" t="str">
        <x:v>Международные модели</x:v>
      </x:c>
      <x:c r="H1" s="4" t="str">
        <x:v>Международные модели</x:v>
      </x:c>
      <x:c r="I1" s="4" t="str">
        <x:v>Международные модели</x:v>
      </x:c>
      <x:c r="J1" s="4" t="str">
        <x:v>Международные модели</x:v>
      </x:c>
      <x:c r="K1" s="4" t="str">
        <x:v>Международные модели</x:v>
      </x:c>
      <x:c r="L1" s="4" t="str">
        <x:v>Международные модели</x:v>
      </x:c>
      <x:c r="M1" s="4" t="str">
        <x:v>Международные модели</x:v>
      </x:c>
    </x:row>
    <x:row r="2" ht="32" customHeight="1">
      <x:c r="A2" s="8" t="str">
        <x:v>36 моделей на восьми рынках: США, Великобритания, Финляндия, Швеция, ОАЭ, Китай, Индия и Сингапур.</x:v>
      </x:c>
      <x:c r="B2" s="8" t="str">
        <x:v>36 моделей на восьми рынках: США, Великобритания, Финляндия, Швеция, ОАЭ, Китай, Индия и Сингапур.</x:v>
      </x:c>
      <x:c r="C2" s="8" t="str">
        <x:v>36 моделей на восьми рынках: США, Великобритания, Финляндия, Швеция, ОАЭ, Китай, Индия и Сингапур.</x:v>
      </x:c>
      <x:c r="D2" s="8" t="str">
        <x:v>36 моделей на восьми рынках: США, Великобритания, Финляндия, Швеция, ОАЭ, Китай, Индия и Сингапур.</x:v>
      </x:c>
      <x:c r="E2" s="8" t="str">
        <x:v>36 моделей на восьми рынках: США, Великобритания, Финляндия, Швеция, ОАЭ, Китай, Индия и Сингапур.</x:v>
      </x:c>
      <x:c r="F2" s="8" t="str">
        <x:v>36 моделей на восьми рынках: США, Великобритания, Финляндия, Швеция, ОАЭ, Китай, Индия и Сингапур.</x:v>
      </x:c>
      <x:c r="G2" s="8" t="str">
        <x:v>36 моделей на восьми рынках: США, Великобритания, Финляндия, Швеция, ОАЭ, Китай, Индия и Сингапур.</x:v>
      </x:c>
      <x:c r="H2" s="8" t="str">
        <x:v>36 моделей на восьми рынках: США, Великобритания, Финляндия, Швеция, ОАЭ, Китай, Индия и Сингапур.</x:v>
      </x:c>
      <x:c r="I2" s="8" t="str">
        <x:v>36 моделей на восьми рынках: США, Великобритания, Финляндия, Швеция, ОАЭ, Китай, Индия и Сингапур.</x:v>
      </x:c>
      <x:c r="J2" s="8" t="str">
        <x:v>36 моделей на восьми рынках: США, Великобритания, Финляндия, Швеция, ОАЭ, Китай, Индия и Сингапур.</x:v>
      </x:c>
      <x:c r="K2" s="8" t="str">
        <x:v>36 моделей на восьми рынках: США, Великобритания, Финляндия, Швеция, ОАЭ, Китай, Индия и Сингапур.</x:v>
      </x:c>
      <x:c r="L2" s="8" t="str">
        <x:v>36 моделей на восьми рынках: США, Великобритания, Финляндия, Швеция, ОАЭ, Китай, Индия и Сингапур.</x:v>
      </x:c>
      <x:c r="M2" s="8" t="str">
        <x:v>36 моделей на восьми рынках: США, Великобритания, Финляндия, Швеция, ОАЭ, Китай, Индия и Сингапур.</x:v>
      </x:c>
    </x:row>
    <x:row r="4" ht="30" customHeight="1">
      <x:c r="A4" s="14" t="str">
        <x:v>id</x:v>
      </x:c>
      <x:c r="B4" s="14" t="str">
        <x:v>operator</x:v>
      </x:c>
      <x:c r="C4" s="14" t="str">
        <x:v>country_or_region</x:v>
      </x:c>
      <x:c r="D4" s="14" t="str">
        <x:v>segment</x:v>
      </x:c>
      <x:c r="E4" s="14" t="str">
        <x:v>format_age</x:v>
      </x:c>
      <x:c r="F4" s="14" t="str">
        <x:v>public_price</x:v>
      </x:c>
      <x:c r="G4" s="14" t="str">
        <x:v>scale</x:v>
      </x:c>
      <x:c r="H4" s="14" t="str">
        <x:v>business_model</x:v>
      </x:c>
      <x:c r="I4" s="14" t="str">
        <x:v>source</x:v>
      </x:c>
      <x:c r="J4" s="14" t="str">
        <x:v>period</x:v>
      </x:c>
      <x:c r="K4" s="14" t="str">
        <x:v>confidence</x:v>
      </x:c>
      <x:c r="L4" s="14" t="str">
        <x:v>applicability</x:v>
      </x:c>
      <x:c r="M4" s="14" t="str">
        <x:v>fatal_limit</x:v>
      </x:c>
    </x:row>
    <x:row r="5">
      <x:c r="A5" s="18" t="n">
        <x:v>1</x:v>
      </x:c>
      <x:c r="B5" s="18" t="str">
        <x:v>Bright Horizons</x:v>
      </x:c>
      <x:c r="C5" s="18" t="str">
        <x:v>US/global</x:v>
      </x:c>
      <x:c r="D5" s="18" t="str">
        <x:v>ECEC/employer childcare</x:v>
      </x:c>
      <x:c r="E5" s="18" t="str">
        <x:v>Full-day centres; employer-backed care</x:v>
      </x:c>
      <x:c r="F5" s="18" t="str">
        <x:v>US sample infant $2675/mo; toddler $2475; preschool $2100</x:v>
      </x:c>
      <x:c r="G5" s="18" t="str">
        <x:v>&gt;1450 employer clients; &gt;220 Fortune 500; mature centre revenue $1.5–2.5m; gross margin 20–25%</x:v>
      </x:c>
      <x:c r="H5" s="18" t="str">
        <x:v>Employer sponsorship + family tuition</x:v>
      </x:c>
      <x:c r="I5" s="18" t="str">
        <x:v>https://investors.brighthorizons.com/static-files/dce5fbe4-7226-4452-904d-0482a38b8298</x:v>
      </x:c>
      <x:c r="J5" s="18" t="str">
        <x:v>2024 Form 10-K</x:v>
      </x:c>
      <x:c r="K5" s="18" t="str">
        <x:v>high</x:v>
      </x:c>
      <x:c r="L5" s="18" t="str">
        <x:v>B2B employer camps/afterschool; transparent centre economics</x:v>
      </x:c>
      <x:c r="M5" s="18" t="str">
        <x:v>US prices and employer benefits not transferable</x:v>
      </x:c>
    </x:row>
    <x:row r="6">
      <x:c r="A6" s="18" t="n">
        <x:v>2</x:v>
      </x:c>
      <x:c r="B6" s="18" t="str">
        <x:v>KinderCare</x:v>
      </x:c>
      <x:c r="C6" s="18" t="str">
        <x:v>US</x:v>
      </x:c>
      <x:c r="D6" s="18" t="str">
        <x:v>ECEC</x:v>
      </x:c>
      <x:c r="E6" s="18" t="str">
        <x:v>Large full-day centre network</x:v>
      </x:c>
      <x:c r="F6" s="18" t="str">
        <x:v>Local; annual increase typically 4–7%</x:v>
      </x:c>
      <x:c r="G6" s="18" t="str">
        <x:v>Q1 2026 revenue $672.5m</x:v>
      </x:c>
      <x:c r="H6" s="18" t="str">
        <x:v>Tuition-led corporate chain</x:v>
      </x:c>
      <x:c r="I6" s="18" t="str">
        <x:v>https://www.sec.gov/Archives/edgar/data/1873529/000095017025043210/klc-20241228.htm</x:v>
      </x:c>
      <x:c r="J6" s="18" t="str">
        <x:v>2024/Q1 2026</x:v>
      </x:c>
      <x:c r="K6" s="18" t="str">
        <x:v>high</x:v>
      </x:c>
      <x:c r="L6" s="18" t="str">
        <x:v>Labour-heavy childcare and price cadence benchmark</x:v>
      </x:c>
      <x:c r="M6" s="18" t="str">
        <x:v>Scale did not prevent Q1 2026 net loss</x:v>
      </x:c>
    </x:row>
    <x:row r="7">
      <x:c r="A7" s="18" t="n">
        <x:v>3</x:v>
      </x:c>
      <x:c r="B7" s="18" t="str">
        <x:v>Primrose Schools</x:v>
      </x:c>
      <x:c r="C7" s="18" t="str">
        <x:v>US</x:v>
      </x:c>
      <x:c r="D7" s="18" t="str">
        <x:v>Premium preschool/franchise</x:v>
      </x:c>
      <x:c r="E7" s="18" t="str">
        <x:v>Full-day early education</x:v>
      </x:c>
      <x:c r="F7" s="18" t="str">
        <x:v>Local</x:v>
      </x:c>
      <x:c r="G7" s="18" t="str">
        <x:v>558 schools at end-2025; top-quartile gross revenue $3.586m; selected EBITDA $768966</x:v>
      </x:c>
      <x:c r="H7" s="18" t="str">
        <x:v>Franchise</x:v>
      </x:c>
      <x:c r="I7" s="18" t="str">
        <x:v>https://www.primroseschools.com/franchising</x:v>
      </x:c>
      <x:c r="J7" s="18" t="str">
        <x:v>2025 FDD</x:v>
      </x:c>
      <x:c r="K7" s="18" t="str">
        <x:v>medium</x:v>
      </x:c>
      <x:c r="L7" s="18" t="str">
        <x:v>Use percentile cohort economics not one average</x:v>
      </x:c>
      <x:c r="M7" s="18" t="str">
        <x:v>Only 37.7–44% exceeded cited averages</x:v>
      </x:c>
    </x:row>
    <x:row r="8">
      <x:c r="A8" s="18" t="n">
        <x:v>4</x:v>
      </x:c>
      <x:c r="B8" s="18" t="str">
        <x:v>Acton Academy</x:v>
      </x:c>
      <x:c r="C8" s="18" t="str">
        <x:v>US/global</x:v>
      </x:c>
      <x:c r="D8" s="18" t="str">
        <x:v>Microschool</x:v>
      </x:c>
      <x:c r="E8" s="18" t="str">
        <x:v>Ages 4–18; mixed age; projects; mastery</x:v>
      </x:c>
      <x:c r="F8" s="18" t="str">
        <x:v>Affiliate fee $20000 + 4% revenue</x:v>
      </x:c>
      <x:c r="G8" s="18" t="str">
        <x:v>&gt;300 campuses in 30 countries self-reported</x:v>
      </x:c>
      <x:c r="H8" s="18" t="str">
        <x:v>Affiliate/licensing</x:v>
      </x:c>
      <x:c r="I8" s="18" t="str">
        <x:v>https://actonacademy.org/</x:v>
      </x:c>
      <x:c r="J8" s="18" t="str">
        <x:v>accessed 2026-07-25</x:v>
      </x:c>
      <x:c r="K8" s="18" t="str">
        <x:v>medium-low</x:v>
      </x:c>
      <x:c r="L8" s="18" t="str">
        <x:v>Learner exhibitions and project-studio playbook</x:v>
      </x:c>
      <x:c r="M8" s="18" t="str">
        <x:v>Outcomes and satisfaction self-reported; licensing differs</x:v>
      </x:c>
    </x:row>
    <x:row r="9">
      <x:c r="A9" s="18" t="n">
        <x:v>5</x:v>
      </x:c>
      <x:c r="B9" s="18" t="str">
        <x:v>Alpha School</x:v>
      </x:c>
      <x:c r="C9" s="18" t="str">
        <x:v>US</x:v>
      </x:c>
      <x:c r="D9" s="18" t="str">
        <x:v>AI-led microschool</x:v>
      </x:c>
      <x:c r="E9" s="18" t="str">
        <x:v>Two-hour AI academics + life skills</x:v>
      </x:c>
      <x:c r="F9" s="18" t="str">
        <x:v>Austin $40000/year; Brownsville $10000/year</x:v>
      </x:c>
      <x:c r="G9" s="18" t="str">
        <x:v>Multiple campuses; exact count variable</x:v>
      </x:c>
      <x:c r="H9" s="18" t="str">
        <x:v>Premium tuition school</x:v>
      </x:c>
      <x:c r="I9" s="18" t="str">
        <x:v>https://alpha.school/locations/</x:v>
      </x:c>
      <x:c r="J9" s="18" t="str">
        <x:v>2025/26</x:v>
      </x:c>
      <x:c r="K9" s="18" t="str">
        <x:v>low</x:v>
      </x:c>
      <x:c r="L9" s="18" t="str">
        <x:v>Only bounded teacher-copilot/diagnostics tests</x:v>
      </x:c>
      <x:c r="M9" s="18" t="str">
        <x:v>Top-1% and 2x learning claims not independently proven</x:v>
      </x:c>
    </x:row>
    <x:row r="10">
      <x:c r="A10" s="18" t="n">
        <x:v>6</x:v>
      </x:c>
      <x:c r="B10" s="18" t="str">
        <x:v>KaiPod Learning</x:v>
      </x:c>
      <x:c r="C10" s="18" t="str">
        <x:v>US</x:v>
      </x:c>
      <x:c r="D10" s="18" t="str">
        <x:v>Microschool platform</x:v>
      </x:c>
      <x:c r="E10" s="18" t="str">
        <x:v>Pods roughly 8–15</x:v>
      </x:c>
      <x:c r="F10" s="18" t="str">
        <x:v>Typical $8000–15000/year operator claim</x:v>
      </x:c>
      <x:c r="G10" s="18" t="str">
        <x:v>Network not independently verified</x:v>
      </x:c>
      <x:c r="H10" s="18" t="str">
        <x:v>Platform for local founders; ESA-supported</x:v>
      </x:c>
      <x:c r="I10" s="18" t="str">
        <x:v>https://www.kaipodlearning.com/what-is-a-microschool/</x:v>
      </x:c>
      <x:c r="J10" s="18" t="str">
        <x:v>accessed 2026-07-25</x:v>
      </x:c>
      <x:c r="K10" s="18" t="str">
        <x:v>low-medium</x:v>
      </x:c>
      <x:c r="L10" s="18" t="str">
        <x:v>Small cohort as laboratory</x:v>
      </x:c>
      <x:c r="M10" s="18" t="str">
        <x:v>US ESA and homeschool law do not transfer</x:v>
      </x:c>
    </x:row>
    <x:row r="11">
      <x:c r="A11" s="18" t="n">
        <x:v>7</x:v>
      </x:c>
      <x:c r="B11" s="18" t="str">
        <x:v>Outschool</x:v>
      </x:c>
      <x:c r="C11" s="18" t="str">
        <x:v>US/global online</x:v>
      </x:c>
      <x:c r="D11" s="18" t="str">
        <x:v>Additional education marketplace</x:v>
      </x:c>
      <x:c r="E11" s="18" t="str">
        <x:v>Live online ages 3–18</x:v>
      </x:c>
      <x:c r="F11" s="18" t="str">
        <x:v>Some 1:1 minimum $30/hour</x:v>
      </x:c>
      <x:c r="G11" s="18" t="str">
        <x:v>&gt;140000 classes self-reported</x:v>
      </x:c>
      <x:c r="H11" s="18" t="str">
        <x:v>Marketplace; educator 70%; platform 30%</x:v>
      </x:c>
      <x:c r="I11" s="18" t="str">
        <x:v>https://support.outschool.com/en/articles/16057-prospective-educator-faq</x:v>
      </x:c>
      <x:c r="J11" s="18" t="str">
        <x:v>2023/accessed 2026</x:v>
      </x:c>
      <x:c r="K11" s="18" t="str">
        <x:v>medium</x:v>
      </x:c>
      <x:c r="L11" s="18" t="str">
        <x:v>Long-tail testing and repurchase cohorts</x:v>
      </x:c>
      <x:c r="M11" s="18" t="str">
        <x:v>Quality dispersion and paid acquisition reliance</x:v>
      </x:c>
    </x:row>
    <x:row r="12">
      <x:c r="A12" s="18" t="n">
        <x:v>8</x:v>
      </x:c>
      <x:c r="B12" s="18" t="str">
        <x:v>Kumon</x:v>
      </x:c>
      <x:c r="C12" s="18" t="str">
        <x:v>Japan/global</x:v>
      </x:c>
      <x:c r="D12" s="18" t="str">
        <x:v>Math and reading enrichment</x:v>
      </x:c>
      <x:c r="E12" s="18" t="str">
        <x:v>Ages 3+; mastery worksheets</x:v>
      </x:c>
      <x:c r="F12" s="18" t="str">
        <x:v>US local $150–210 per subject/month + fees</x:v>
      </x:c>
      <x:c r="G12" s="18" t="str">
        <x:v>Global network; exact total not used</x:v>
      </x:c>
      <x:c r="H12" s="18" t="str">
        <x:v>Franchise recurring monthly subjects</x:v>
      </x:c>
      <x:c r="I12" s="18" t="str">
        <x:v>https://www.kumon.com/houston-garden-oaks/aboutcenter</x:v>
      </x:c>
      <x:c r="J12" s="18" t="str">
        <x:v>accessed 2026-07-25</x:v>
      </x:c>
      <x:c r="K12" s="18" t="str">
        <x:v>medium</x:v>
      </x:c>
      <x:c r="L12" s="18" t="str">
        <x:v>Visible levels and habit loop</x:v>
      </x:c>
      <x:c r="M12" s="18" t="str">
        <x:v>Worksheet-heavy model conflicts with arts-led promise</x:v>
      </x:c>
    </x:row>
    <x:row r="13">
      <x:c r="A13" s="18" t="n">
        <x:v>9</x:v>
      </x:c>
      <x:c r="B13" s="18" t="str">
        <x:v>School of Rock</x:v>
      </x:c>
      <x:c r="C13" s="18" t="str">
        <x:v>US/global</x:v>
      </x:c>
      <x:c r="D13" s="18" t="str">
        <x:v>Music/performing arts</x:v>
      </x:c>
      <x:c r="E13" s="18" t="str">
        <x:v>Ages 8–18; private lesson + band + live show</x:v>
      </x:c>
      <x:c r="F13" s="18" t="str">
        <x:v>Local enquiry</x:v>
      </x:c>
      <x:c r="G13" s="18" t="str">
        <x:v>450 sites in 2026; 135 international in 19 countries</x:v>
      </x:c>
      <x:c r="H13" s="18" t="str">
        <x:v>Franchise recurring tuition + camps</x:v>
      </x:c>
      <x:c r="I13" s="18" t="str">
        <x:v>https://www.schoolofrock.com/news/franchise/school-of-rock-opens-450th-location-with-first-ever-german-school</x:v>
      </x:c>
      <x:c r="J13" s="18" t="str">
        <x:v>May 2026</x:v>
      </x:c>
      <x:c r="K13" s="18" t="str">
        <x:v>medium-high</x:v>
      </x:c>
      <x:c r="L13" s="18" t="str">
        <x:v>Strong analogue: skill + ensemble + public performance + community</x:v>
      </x:c>
      <x:c r="M13" s="18" t="str">
        <x:v>Music-specific and US franchise economics</x:v>
      </x:c>
    </x:row>
    <x:row r="14">
      <x:c r="A14" s="18" t="n">
        <x:v>10</x:v>
      </x:c>
      <x:c r="B14" s="18" t="str">
        <x:v>iD Tech</x:v>
      </x:c>
      <x:c r="C14" s="18" t="str">
        <x:v>US</x:v>
      </x:c>
      <x:c r="D14" s="18" t="str">
        <x:v>STEM camps/online</x:v>
      </x:c>
      <x:c r="E14" s="18" t="str">
        <x:v>Week and two-week camps ages 7–19</x:v>
      </x:c>
      <x:c r="F14" s="18" t="str">
        <x:v>Online Blender example $399/10 hours</x:v>
      </x:c>
      <x:c r="G14" s="18" t="str">
        <x:v>&gt;75 university locations; &gt;1m families self-reported</x:v>
      </x:c>
      <x:c r="H14" s="18" t="str">
        <x:v>Seasonal camps on partner venues</x:v>
      </x:c>
      <x:c r="I14" s="18" t="str">
        <x:v>https://www.idtech.com/courses/virtual-3d-modeling-with-blender</x:v>
      </x:c>
      <x:c r="J14" s="18" t="str">
        <x:v>2026 season</x:v>
      </x:c>
      <x:c r="K14" s="18" t="str">
        <x:v>medium</x:v>
      </x:c>
      <x:c r="L14" s="18" t="str">
        <x:v>Partner venues lower permanent CAPEX</x:v>
      </x:c>
      <x:c r="M14" s="18" t="str">
        <x:v>University halo and US prices not transferable</x:v>
      </x:c>
    </x:row>
    <x:row r="15">
      <x:c r="A15" s="18" t="n">
        <x:v>11</x:v>
      </x:c>
      <x:c r="B15" s="18" t="str">
        <x:v>Code Ninjas</x:v>
      </x:c>
      <x:c r="C15" s="18" t="str">
        <x:v>US/Canada/UK</x:v>
      </x:c>
      <x:c r="D15" s="18" t="str">
        <x:v>Coding/STEM</x:v>
      </x:c>
      <x:c r="E15" s="18" t="str">
        <x:v>Ages 5–14; belt progression; camps</x:v>
      </x:c>
      <x:c r="F15" s="18" t="str">
        <x:v>Local enquiry</x:v>
      </x:c>
      <x:c r="G15" s="18" t="str">
        <x:v>Multi-country franchise; count not reliable</x:v>
      </x:c>
      <x:c r="H15" s="18" t="str">
        <x:v>Franchise + recurring membership</x:v>
      </x:c>
      <x:c r="I15" s="18" t="str">
        <x:v>https://www.codeninjas.com/</x:v>
      </x:c>
      <x:c r="J15" s="18" t="str">
        <x:v>accessed 2026-07-25</x:v>
      </x:c>
      <x:c r="K15" s="18" t="str">
        <x:v>medium-low</x:v>
      </x:c>
      <x:c r="L15" s="18" t="str">
        <x:v>Age ladder; free session; modular academies</x:v>
      </x:c>
      <x:c r="M15" s="18" t="str">
        <x:v>Crowded generic coding promise</x:v>
      </x:c>
    </x:row>
    <x:row r="16">
      <x:c r="A16" s="18" t="n">
        <x:v>12</x:v>
      </x:c>
      <x:c r="B16" s="18" t="str">
        <x:v>Busy Bees</x:v>
      </x:c>
      <x:c r="C16" s="18" t="str">
        <x:v>UK/global</x:v>
      </x:c>
      <x:c r="D16" s="18" t="str">
        <x:v>ECEC</x:v>
      </x:c>
      <x:c r="E16" s="18" t="str">
        <x:v>Full-day nurseries 0–5</x:v>
      </x:c>
      <x:c r="F16" s="18" t="str">
        <x:v>One UK location £8/hour from Apr 2026; not network-wide</x:v>
      </x:c>
      <x:c r="G16" s="18" t="str">
        <x:v>Nearly 1000 centres in 10 countries self-reported</x:v>
      </x:c>
      <x:c r="H16" s="18" t="str">
        <x:v>Corporate chain and acquisitions</x:v>
      </x:c>
      <x:c r="I16" s="18" t="str">
        <x:v>https://www.busybeesglobal.com/</x:v>
      </x:c>
      <x:c r="J16" s="18" t="str">
        <x:v>accessed 2026-07-25</x:v>
      </x:c>
      <x:c r="K16" s="18" t="str">
        <x:v>medium</x:v>
      </x:c>
      <x:c r="L16" s="18" t="str">
        <x:v>Operations and local-cluster density</x:v>
      </x:c>
      <x:c r="M16" s="18" t="str">
        <x:v>Isolated tariff is not network average</x:v>
      </x:c>
    </x:row>
    <x:row r="17">
      <x:c r="A17" s="18" t="n">
        <x:v>13</x:v>
      </x:c>
      <x:c r="B17" s="18" t="str">
        <x:v>Inspired Education</x:v>
      </x:c>
      <x:c r="C17" s="18" t="str">
        <x:v>UK/global</x:v>
      </x:c>
      <x:c r="D17" s="18" t="str">
        <x:v>Premium international schools</x:v>
      </x:c>
      <x:c r="E17" s="18" t="str">
        <x:v>K–Year 13</x:v>
      </x:c>
      <x:c r="F17" s="18" t="str">
        <x:v>School-specific</x:v>
      </x:c>
      <x:c r="G17" s="18" t="str">
        <x:v>125 schools; 95000 students; 30 countries self-reported</x:v>
      </x:c>
      <x:c r="H17" s="18" t="str">
        <x:v>Premium roll-up/operator</x:v>
      </x:c>
      <x:c r="I17" s="18" t="str">
        <x:v>https://www.inspirededu.com/</x:v>
      </x:c>
      <x:c r="J17" s="18" t="str">
        <x:v>accessed 2026-07-25</x:v>
      </x:c>
      <x:c r="K17" s="18" t="str">
        <x:v>medium</x:v>
      </x:c>
      <x:c r="L17" s="18" t="str">
        <x:v>Portfolio shared services and brand architecture</x:v>
      </x:c>
      <x:c r="M17" s="18" t="str">
        <x:v>Capital intensity and expat demand</x:v>
      </x:c>
    </x:row>
    <x:row r="18">
      <x:c r="A18" s="18" t="n">
        <x:v>14</x:v>
      </x:c>
      <x:c r="B18" s="18" t="str">
        <x:v>Nord Anglia Education</x:v>
      </x:c>
      <x:c r="C18" s="18" t="str">
        <x:v>Global</x:v>
      </x:c>
      <x:c r="D18" s="18" t="str">
        <x:v>Premium international schools</x:v>
      </x:c>
      <x:c r="E18" s="18" t="str">
        <x:v>Early years–secondary</x:v>
      </x:c>
      <x:c r="F18" s="18" t="str">
        <x:v>Beijing RMB165000 half-day age 2 to RMB361100 Years 12–13</x:v>
      </x:c>
      <x:c r="G18" s="18" t="str">
        <x:v>&gt;80 schools; 33 countries; ~90000 students; $14.5bn EV acquisition</x:v>
      </x:c>
      <x:c r="H18" s="18" t="str">
        <x:v>Premium chain + central curriculum</x:v>
      </x:c>
      <x:c r="I18" s="18" t="str">
        <x:v>https://www.nordangliaeducation.com/bsb-shunyi/-/media/bsb-shunyi/admissions/bsb-shunyi-fees-and-bank-details-2025-26.pdf</x:v>
      </x:c>
      <x:c r="J18" s="18" t="str">
        <x:v>2025/26</x:v>
      </x:c>
      <x:c r="K18" s="18" t="str">
        <x:v>high</x:v>
      </x:c>
      <x:c r="L18" s="18" t="str">
        <x:v>Central content + local delivery + result reporting</x:v>
      </x:c>
      <x:c r="M18" s="18" t="str">
        <x:v>Expat market and non-comparable fees</x:v>
      </x:c>
    </x:row>
    <x:row r="19">
      <x:c r="A19" s="18" t="n">
        <x:v>15</x:v>
      </x:c>
      <x:c r="B19" s="18" t="str">
        <x:v>Dukes Education</x:v>
      </x:c>
      <x:c r="C19" s="18" t="str">
        <x:v>UK/Europe</x:v>
      </x:c>
      <x:c r="D19" s="18" t="str">
        <x:v>Education portfolio</x:v>
      </x:c>
      <x:c r="E19" s="18" t="str">
        <x:v>Nurseries; schools; colleges; camps; admissions</x:v>
      </x:c>
      <x:c r="F19" s="18" t="str">
        <x:v>Location-specific</x:v>
      </x:c>
      <x:c r="G19" s="18" t="str">
        <x:v>Portfolio scale not used</x:v>
      </x:c>
      <x:c r="H19" s="18" t="str">
        <x:v>Local clusters and cross-sell</x:v>
      </x:c>
      <x:c r="I19" s="18" t="str">
        <x:v>https://dukeseducation.com/what-we-do/</x:v>
      </x:c>
      <x:c r="J19" s="18" t="str">
        <x:v>accessed 2026-07-25</x:v>
      </x:c>
      <x:c r="K19" s="18" t="str">
        <x:v>medium</x:v>
      </x:c>
      <x:c r="L19" s="18" t="str">
        <x:v>Family lifetime value via adjacent and seasonal products</x:v>
      </x:c>
      <x:c r="M19" s="18" t="str">
        <x:v>Complexity can hide weak product economics</x:v>
      </x:c>
    </x:row>
    <x:row r="20">
      <x:c r="A20" s="18" t="n">
        <x:v>16</x:v>
      </x:c>
      <x:c r="B20" s="18" t="str">
        <x:v>Explore Learning</x:v>
      </x:c>
      <x:c r="C20" s="18" t="str">
        <x:v>UK</x:v>
      </x:c>
      <x:c r="D20" s="18" t="str">
        <x:v>Tutoring</x:v>
      </x:c>
      <x:c r="E20" s="18" t="str">
        <x:v>Maths; English; exams ages 4–16; groups ≤6 and 1:1</x:v>
      </x:c>
      <x:c r="F20" s="18" t="str">
        <x:v>Group £124–179/month; 1:1 £159–259/month</x:v>
      </x:c>
      <x:c r="G20" s="18" t="str">
        <x:v>National network; exact count not required</x:v>
      </x:c>
      <x:c r="H20" s="18" t="str">
        <x:v>Monthly centre/online membership</x:v>
      </x:c>
      <x:c r="I20" s="18" t="str">
        <x:v>https://www.explorelearning.co.uk/tuition-centre/london-barking/</x:v>
      </x:c>
      <x:c r="J20" s="18" t="str">
        <x:v>current 2026</x:v>
      </x:c>
      <x:c r="K20" s="18" t="str">
        <x:v>high</x:v>
      </x:c>
      <x:c r="L20" s="18" t="str">
        <x:v>Tariff ladder; small groups; cancellation; trial</x:v>
      </x:c>
      <x:c r="M20" s="18" t="str">
        <x:v>Tutoring is not direct proof for arts outcomes</x:v>
      </x:c>
    </x:row>
    <x:row r="21">
      <x:c r="A21" s="18" t="n">
        <x:v>17</x:v>
      </x:c>
      <x:c r="B21" s="18" t="str">
        <x:v>Stagecoach Performing Arts</x:v>
      </x:c>
      <x:c r="C21" s="18" t="str">
        <x:v>UK/global</x:v>
      </x:c>
      <x:c r="D21" s="18" t="str">
        <x:v>Performing arts</x:v>
      </x:c>
      <x:c r="E21" s="18" t="str">
        <x:v>Ages 4–18; singing dance acting</x:v>
      </x:c>
      <x:c r="F21" s="18" t="str">
        <x:v>Local</x:v>
      </x:c>
      <x:c r="G21" s="18" t="str">
        <x:v>&gt;300 franchise principals self-reported</x:v>
      </x:c>
      <x:c r="H21" s="18" t="str">
        <x:v>Franchise weekly school</x:v>
      </x:c>
      <x:c r="I21" s="18" t="str">
        <x:v>https://www.stagecoach.co.uk/work-with-us/open-your-school/</x:v>
      </x:c>
      <x:c r="J21" s="18" t="str">
        <x:v>accessed 2026-07-25</x:v>
      </x:c>
      <x:c r="K21" s="18" t="str">
        <x:v>medium</x:v>
      </x:c>
      <x:c r="L21" s="18" t="str">
        <x:v>Relevant recurring multi-art model</x:v>
      </x:c>
      <x:c r="M21" s="18" t="str">
        <x:v>Recruitment claims do not prove franchisee profit</x:v>
      </x:c>
    </x:row>
    <x:row r="22">
      <x:c r="A22" s="18" t="n">
        <x:v>18</x:v>
      </x:c>
      <x:c r="B22" s="18" t="str">
        <x:v>Dibber</x:v>
      </x:c>
      <x:c r="C22" s="18" t="str">
        <x:v>Norway/global</x:v>
      </x:c>
      <x:c r="D22" s="18" t="str">
        <x:v>ECEC</x:v>
      </x:c>
      <x:c r="E22" s="18" t="str">
        <x:v>Play-based ECEC</x:v>
      </x:c>
      <x:c r="F22" s="18" t="str">
        <x:v>Regulated/location-specific</x:v>
      </x:c>
      <x:c r="G22" s="18" t="str">
        <x:v>&gt;600 centres; 10 countries; &gt;40000 children self-reported</x:v>
      </x:c>
      <x:c r="H22" s="18" t="str">
        <x:v>Corporate chain + public/private commissioning</x:v>
      </x:c>
      <x:c r="I22" s="18" t="str">
        <x:v>https://www.dibber.com/</x:v>
      </x:c>
      <x:c r="J22" s="18" t="str">
        <x:v>accessed 2026-07-25</x:v>
      </x:c>
      <x:c r="K22" s="18" t="str">
        <x:v>medium</x:v>
      </x:c>
      <x:c r="L22" s="18" t="str">
        <x:v>Exportable pedagogy and teacher support</x:v>
      </x:c>
      <x:c r="M22" s="18" t="str">
        <x:v>Revenue relies on national funding</x:v>
      </x:c>
    </x:row>
    <x:row r="23">
      <x:c r="A23" s="18" t="n">
        <x:v>19</x:v>
      </x:c>
      <x:c r="B23" s="18" t="str">
        <x:v>HEI Schools</x:v>
      </x:c>
      <x:c r="C23" s="18" t="str">
        <x:v>Finland/global</x:v>
      </x:c>
      <x:c r="D23" s="18" t="str">
        <x:v>ECEC licensing</x:v>
      </x:c>
      <x:c r="E23" s="18" t="str">
        <x:v>Finnish-inspired curriculum and training</x:v>
      </x:c>
      <x:c r="F23" s="18" t="str">
        <x:v>B2B quotation</x:v>
      </x:c>
      <x:c r="G23" s="18" t="str">
        <x:v>25+ schools; 140+ partners; 4000+ educators; 35+ countries self-reported</x:v>
      </x:c>
      <x:c r="H23" s="18" t="str">
        <x:v>Curriculum licence + professional development</x:v>
      </x:c>
      <x:c r="I23" s="18" t="str">
        <x:v>https://www.heischools.com/</x:v>
      </x:c>
      <x:c r="J23" s="18" t="str">
        <x:v>accessed 2026-07-25</x:v>
      </x:c>
      <x:c r="K23" s="18" t="str">
        <x:v>medium</x:v>
      </x:c>
      <x:c r="L23" s="18" t="str">
        <x:v>Asset-light curriculum/training product</x:v>
      </x:c>
      <x:c r="M23" s="18" t="str">
        <x:v>Finnish origin is not outcome evidence</x:v>
      </x:c>
    </x:row>
    <x:row r="24">
      <x:c r="A24" s="18" t="n">
        <x:v>20</x:v>
      </x:c>
      <x:c r="B24" s="18" t="str">
        <x:v>Kide Science</x:v>
      </x:c>
      <x:c r="C24" s="18" t="str">
        <x:v>Finland/global</x:v>
      </x:c>
      <x:c r="D24" s="18" t="str">
        <x:v>Early STEM</x:v>
      </x:c>
      <x:c r="E24" s="18" t="str">
        <x:v>Inquiry STEAM ages 3–8; teacher content</x:v>
      </x:c>
      <x:c r="F24" s="18" t="str">
        <x:v>B2B quotation</x:v>
      </x:c>
      <x:c r="G24" s="18" t="str">
        <x:v>Global distribution after acquisition</x:v>
      </x:c>
      <x:c r="H24" s="18" t="str">
        <x:v>Content licensing</x:v>
      </x:c>
      <x:c r="I24" s="18" t="str">
        <x:v>https://acceleratelearning.com/kidescience/</x:v>
      </x:c>
      <x:c r="J24" s="18" t="str">
        <x:v>acquired 2023/accessed 2026</x:v>
      </x:c>
      <x:c r="K24" s="18" t="str">
        <x:v>medium-low</x:v>
      </x:c>
      <x:c r="L24" s="18" t="str">
        <x:v>Art + story + inquiry teacher kit</x:v>
      </x:c>
      <x:c r="M24" s="18" t="str">
        <x:v>Company cases not independent trials</x:v>
      </x:c>
    </x:row>
    <x:row r="25">
      <x:c r="A25" s="18" t="n">
        <x:v>21</x:v>
      </x:c>
      <x:c r="B25" s="18" t="str">
        <x:v>AcadeMedia</x:v>
      </x:c>
      <x:c r="C25" s="18" t="str">
        <x:v>Sweden/Nordics/Europe</x:v>
      </x:c>
      <x:c r="D25" s="18" t="str">
        <x:v>ECEC/schools/adult</x:v>
      </x:c>
      <x:c r="E25" s="18" t="str">
        <x:v>Multi-brand network</x:v>
      </x:c>
      <x:c r="F25" s="18" t="str">
        <x:v>Mostly publicly commissioned</x:v>
      </x:c>
      <x:c r="G25" s="18" t="str">
        <x:v>2023/24: 104000 children/students + 104000 adult learners; 803 units</x:v>
      </x:c>
      <x:c r="H25" s="18" t="str">
        <x:v>Publicly funded chain and acquisitions</x:v>
      </x:c>
      <x:c r="I25" s="18" t="str">
        <x:v>https://mb.cision.com/Main/14380/4055112/3069459.pdf</x:v>
      </x:c>
      <x:c r="J25" s="18" t="str">
        <x:v>2023/24</x:v>
      </x:c>
      <x:c r="K25" s="18" t="str">
        <x:v>high</x:v>
      </x:c>
      <x:c r="L25" s="18" t="str">
        <x:v>Shared services and multi-brand integration</x:v>
      </x:c>
      <x:c r="M25" s="18" t="str">
        <x:v>Voucher/public funding economics do not transfer</x:v>
      </x:c>
    </x:row>
    <x:row r="26">
      <x:c r="A26" s="18" t="n">
        <x:v>22</x:v>
      </x:c>
      <x:c r="B26" s="18" t="str">
        <x:v>Internationella Engelska Skolan</x:v>
      </x:c>
      <x:c r="C26" s="18" t="str">
        <x:v>Sweden</x:v>
      </x:c>
      <x:c r="D26" s="18" t="str">
        <x:v>Bilingual schools</x:v>
      </x:c>
      <x:c r="E26" s="18" t="str">
        <x:v>Up to half instruction in English</x:v>
      </x:c>
      <x:c r="F26" s="18" t="str">
        <x:v>Free to families; voucher-funded</x:v>
      </x:c>
      <x:c r="G26" s="18" t="str">
        <x:v>2024/25: 47 schools; 30000 pupils; 3800 staff</x:v>
      </x:c>
      <x:c r="H26" s="18" t="str">
        <x:v>Publicly funded independent chain</x:v>
      </x:c>
      <x:c r="I26" s="18" t="str">
        <x:v>https://engelska.se/media/n0ij5dyc/quality-report-2024-2025-eng.pdf</x:v>
      </x:c>
      <x:c r="J26" s="18" t="str">
        <x:v>2024/25</x:v>
      </x:c>
      <x:c r="K26" s="18" t="str">
        <x:v>high</x:v>
      </x:c>
      <x:c r="L26" s="18" t="str">
        <x:v>Bilingual differentiation + quality reporting</x:v>
      </x:c>
      <x:c r="M26" s="18" t="str">
        <x:v>No tuition-paying demand evidence</x:v>
      </x:c>
    </x:row>
    <x:row r="27">
      <x:c r="A27" s="18" t="n">
        <x:v>23</x:v>
      </x:c>
      <x:c r="B27" s="18" t="str">
        <x:v>Kunskapsskolan/KED</x:v>
      </x:c>
      <x:c r="C27" s="18" t="str">
        <x:v>Sweden/global</x:v>
      </x:c>
      <x:c r="D27" s="18" t="str">
        <x:v>Personalised schools/licensing</x:v>
      </x:c>
      <x:c r="E27" s="18" t="str">
        <x:v>Coaching; goal plans; modular curriculum</x:v>
      </x:c>
      <x:c r="F27" s="18" t="str">
        <x:v>Location-specific/public funded</x:v>
      </x:c>
      <x:c r="G27" s="18" t="str">
        <x:v>&gt;100 KED schools self-reported</x:v>
      </x:c>
      <x:c r="H27" s="18" t="str">
        <x:v>Operation + curriculum licensing</x:v>
      </x:c>
      <x:c r="I27" s="18" t="str">
        <x:v>https://www.kunskapsskolan.com/thekedworld.4.1d96c045153756b0c14d58c2.html</x:v>
      </x:c>
      <x:c r="J27" s="18" t="str">
        <x:v>accessed 2026-07-25</x:v>
      </x:c>
      <x:c r="K27" s="18" t="str">
        <x:v>medium</x:v>
      </x:c>
      <x:c r="L27" s="18" t="str">
        <x:v>Weekly goals and mentor conversations</x:v>
      </x:c>
      <x:c r="M27" s="18" t="str">
        <x:v>Personalisation raises teacher/process load</x:v>
      </x:c>
    </x:row>
    <x:row r="28">
      <x:c r="A28" s="18" t="n">
        <x:v>24</x:v>
      </x:c>
      <x:c r="B28" s="18" t="str">
        <x:v>GEMS Education</x:v>
      </x:c>
      <x:c r="C28" s="18" t="str">
        <x:v>UAE/global</x:v>
      </x:c>
      <x:c r="D28" s="18" t="str">
        <x:v>Private schools</x:v>
      </x:c>
      <x:c r="E28" s="18" t="str">
        <x:v>Multiple curricula and price tiers</x:v>
      </x:c>
      <x:c r="F28" s="18" t="str">
        <x:v>UAE ranges AED8650–88848 depending grade/curriculum</x:v>
      </x:c>
      <x:c r="G28" s="18" t="str">
        <x:v>45 UAE schools; 146000 pupils; $540m 3-year investment</x:v>
      </x:c>
      <x:c r="H28" s="18" t="str">
        <x:v>Premium and mass-market portfolio</x:v>
      </x:c>
      <x:c r="I28" s="18" t="str">
        <x:v>https://www.gemseducation.com/en/Our-Parents/Fees-by-Grade</x:v>
      </x:c>
      <x:c r="J28" s="18" t="str">
        <x:v>2025/26</x:v>
      </x:c>
      <x:c r="K28" s="18" t="str">
        <x:v>high</x:v>
      </x:c>
      <x:c r="L28" s="18" t="str">
        <x:v>Tiered portfolio and fee transparency</x:v>
      </x:c>
      <x:c r="M28" s="18" t="str">
        <x:v>Expat demand and school CAPEX</x:v>
      </x:c>
    </x:row>
    <x:row r="29">
      <x:c r="A29" s="18" t="n">
        <x:v>25</x:v>
      </x:c>
      <x:c r="B29" s="18" t="str">
        <x:v>Taaleem</x:v>
      </x:c>
      <x:c r="C29" s="18" t="str">
        <x:v>UAE</x:v>
      </x:c>
      <x:c r="D29" s="18" t="str">
        <x:v>Private schools</x:v>
      </x:c>
      <x:c r="E29" s="18" t="str">
        <x:v>Premium + government-partnership schools</x:v>
      </x:c>
      <x:c r="F29" s="18" t="str">
        <x:v>School-specific</x:v>
      </x:c>
      <x:c r="G29" s="18" t="str">
        <x:v>H1 2024/25: 12 premium schools; 41117 enrolment; capacity 55292; revenue AED648.8m</x:v>
      </x:c>
      <x:c r="H29" s="18" t="str">
        <x:v>Listed operator</x:v>
      </x:c>
      <x:c r="I29" s="18" t="str">
        <x:v>https://www.taaleem.ae/wp-content/uploads/2025/04/Taaleem-ER-H1-2024-25-vf.pdf</x:v>
      </x:c>
      <x:c r="J29" s="18" t="str">
        <x:v>H1 2024/25</x:v>
      </x:c>
      <x:c r="K29" s="18" t="str">
        <x:v>high</x:v>
      </x:c>
      <x:c r="L29" s="18" t="str">
        <x:v>Report utilisation and separate price/mix/headcount</x:v>
      </x:c>
      <x:c r="M29" s="18" t="str">
        <x:v>Dubai growth not transferable</x:v>
      </x:c>
    </x:row>
    <x:row r="30">
      <x:c r="A30" s="18" t="n">
        <x:v>26</x:v>
      </x:c>
      <x:c r="B30" s="18" t="str">
        <x:v>Blossom/Babilou Family</x:v>
      </x:c>
      <x:c r="C30" s="18" t="str">
        <x:v>UAE/global</x:v>
      </x:c>
      <x:c r="D30" s="18" t="str">
        <x:v>ECEC</x:v>
      </x:c>
      <x:c r="E30" s="18" t="str">
        <x:v>British/sustainability-themed nursery</x:v>
      </x:c>
      <x:c r="F30" s="18" t="str">
        <x:v>Local enquiry</x:v>
      </x:c>
      <x:c r="G30" s="18" t="str">
        <x:v>32 UAE locations self-reported</x:v>
      </x:c>
      <x:c r="H30" s="18" t="str">
        <x:v>Corporate nursery network</x:v>
      </x:c>
      <x:c r="I30" s="18" t="str">
        <x:v>https://www.theblossomnursery.com/</x:v>
      </x:c>
      <x:c r="J30" s="18" t="str">
        <x:v>accessed 2026-07-25</x:v>
      </x:c>
      <x:c r="K30" s="18" t="str">
        <x:v>medium</x:v>
      </x:c>
      <x:c r="L30" s="18" t="str">
        <x:v>Themed curriculum and local clusters</x:v>
      </x:c>
      <x:c r="M30" s="18" t="str">
        <x:v>Theme is not outcome evidence</x:v>
      </x:c>
    </x:row>
    <x:row r="31">
      <x:c r="A31" s="18" t="n">
        <x:v>27</x:v>
      </x:c>
      <x:c r="B31" s="18" t="str">
        <x:v>Innoventures Education</x:v>
      </x:c>
      <x:c r="C31" s="18" t="str">
        <x:v>UAE</x:v>
      </x:c>
      <x:c r="D31" s="18" t="str">
        <x:v>Schools + ECEC</x:v>
      </x:c>
      <x:c r="E31" s="18" t="str">
        <x:v>Ages 45 days–18; nursery-to-school</x:v>
      </x:c>
      <x:c r="F31" s="18" t="str">
        <x:v>Location-specific</x:v>
      </x:c>
      <x:c r="G31" s="18" t="str">
        <x:v>5 schools; 8 ECC; &gt;9000 students self-reported</x:v>
      </x:c>
      <x:c r="H31" s="18" t="str">
        <x:v>Family lifecycle ecosystem</x:v>
      </x:c>
      <x:c r="I31" s="18" t="str">
        <x:v>https://www.rafflesecc.com/about-innoventures-education-ecc</x:v>
      </x:c>
      <x:c r="J31" s="18" t="str">
        <x:v>accessed 2026-07-25</x:v>
      </x:c>
      <x:c r="K31" s="18" t="str">
        <x:v>medium</x:v>
      </x:c>
      <x:c r="L31" s="18" t="str">
        <x:v>Cross-age feeder pathway</x:v>
      </x:c>
      <x:c r="M31" s="18" t="str">
        <x:v>Operational complexity and expat context</x:v>
      </x:c>
    </x:row>
    <x:row r="32">
      <x:c r="A32" s="18" t="n">
        <x:v>28</x:v>
      </x:c>
      <x:c r="B32" s="18" t="str">
        <x:v>New Oriental</x:v>
      </x:c>
      <x:c r="C32" s="18" t="str">
        <x:v>China</x:v>
      </x:c>
      <x:c r="D32" s="18" t="str">
        <x:v>Tutoring/non-academic</x:v>
      </x:c>
      <x:c r="E32" s="18" t="str">
        <x:v>Test prep; educational services; non-academic</x:v>
      </x:c>
      <x:c r="F32" s="18" t="str">
        <x:v>Not transparently public</x:v>
      </x:c>
      <x:c r="G32" s="18" t="str">
        <x:v>2026-02-28: 74 schools; 1430 centres; 42600 teachers; 68 cities</x:v>
      </x:c>
      <x:c r="H32" s="18" t="str">
        <x:v>Corporate centre chain post-regulation</x:v>
      </x:c>
      <x:c r="I32" s="18" t="str">
        <x:v>https://investor.neworiental.org/corporate-profile</x:v>
      </x:c>
      <x:c r="J32" s="18" t="str">
        <x:v>2026-02-28</x:v>
      </x:c>
      <x:c r="K32" s="18" t="str">
        <x:v>high</x:v>
      </x:c>
      <x:c r="L32" s="18" t="str">
        <x:v>Case of pivot from regulated tutoring</x:v>
      </x:c>
      <x:c r="M32" s="18" t="str">
        <x:v>Chinese scale and permissions</x:v>
      </x:c>
    </x:row>
    <x:row r="33">
      <x:c r="A33" s="18" t="n">
        <x:v>29</x:v>
      </x:c>
      <x:c r="B33" s="18" t="str">
        <x:v>TAL Education</x:v>
      </x:c>
      <x:c r="C33" s="18" t="str">
        <x:v>China</x:v>
      </x:c>
      <x:c r="D33" s="18" t="str">
        <x:v>Learning services/technology</x:v>
      </x:c>
      <x:c r="E33" s="18" t="str">
        <x:v>Smart centres and content</x:v>
      </x:c>
      <x:c r="F33" s="18" t="str">
        <x:v>Not transparently public</x:v>
      </x:c>
      <x:c r="G33" s="18" t="str">
        <x:v>FY2025: 526 centres in 40 cities vs 331 in 38</x:v>
      </x:c>
      <x:c r="H33" s="18" t="str">
        <x:v>Centres + technology/content</x:v>
      </x:c>
      <x:c r="I33" s="18" t="str">
        <x:v>https://www.sec.gov/Archives/edgar/data/1499620/000141057825001415/tal-20250228x20f.htm</x:v>
      </x:c>
      <x:c r="J33" s="18" t="str">
        <x:v>FY2025</x:v>
      </x:c>
      <x:c r="K33" s="18" t="str">
        <x:v>high</x:v>
      </x:c>
      <x:c r="L33" s="18" t="str">
        <x:v>Post-shock portfolio redesign</x:v>
      </x:c>
      <x:c r="M33" s="18" t="str">
        <x:v>Growth does not prove category freedom</x:v>
      </x:c>
    </x:row>
    <x:row r="34">
      <x:c r="A34" s="18" t="n">
        <x:v>30</x:v>
      </x:c>
      <x:c r="B34" s="18" t="str">
        <x:v>Bright Scholar</x:v>
      </x:c>
      <x:c r="C34" s="18" t="str">
        <x:v>China/UK</x:v>
      </x:c>
      <x:c r="D34" s="18" t="str">
        <x:v>International schools</x:v>
      </x:c>
      <x:c r="E34" s="18" t="str">
        <x:v>Overseas boarding/day after contraction</x:v>
      </x:c>
      <x:c r="F34" s="18" t="str">
        <x:v>School-specific</x:v>
      </x:c>
      <x:c r="G34" s="18" t="str">
        <x:v>2025: mainly 8 overseas schools; 2669 students</x:v>
      </x:c>
      <x:c r="H34" s="18" t="str">
        <x:v>School ownership; going-private</x:v>
      </x:c>
      <x:c r="I34" s="18" t="str">
        <x:v>https://www.prnewswire.com/news-releases/bright-scholar-announces-unaudited-financial-results-for-the-second-quarter-of-fiscal-year-2025-302439475.html</x:v>
      </x:c>
      <x:c r="J34" s="18" t="str">
        <x:v>Q2 FY2025</x:v>
      </x:c>
      <x:c r="K34" s="18" t="str">
        <x:v>medium-high</x:v>
      </x:c>
      <x:c r="L34" s="18" t="str">
        <x:v>Warning on geographic/regulatory concentration</x:v>
      </x:c>
      <x:c r="M34" s="18" t="str">
        <x:v>Corporate transition and small remaining scale</x:v>
      </x:c>
    </x:row>
    <x:row r="35">
      <x:c r="A35" s="18" t="n">
        <x:v>31</x:v>
      </x:c>
      <x:c r="B35" s="18" t="str">
        <x:v>Lighthouse Learning/EuroKids</x:v>
      </x:c>
      <x:c r="C35" s="18" t="str">
        <x:v>India</x:v>
      </x:c>
      <x:c r="D35" s="18" t="str">
        <x:v>Preschool + K–12</x:v>
      </x:c>
      <x:c r="E35" s="18" t="str">
        <x:v>Preschools and schools</x:v>
      </x:c>
      <x:c r="F35" s="18" t="str">
        <x:v>Local/franchise</x:v>
      </x:c>
      <x:c r="G35" s="18" t="str">
        <x:v>&gt;2000 preschools in &gt;500 towns; &gt;60 schools</x:v>
      </x:c>
      <x:c r="H35" s="18" t="str">
        <x:v>Franchise + owned/partner schools</x:v>
      </x:c>
      <x:c r="I35" s="18" t="str">
        <x:v>https://www.lighthouse-learning.com/about/</x:v>
      </x:c>
      <x:c r="J35" s="18" t="str">
        <x:v>accessed 2026-07-25</x:v>
      </x:c>
      <x:c r="K35" s="18" t="str">
        <x:v>medium</x:v>
      </x:c>
      <x:c r="L35" s="18" t="str">
        <x:v>Low-CAPEX partner network + central curriculum</x:v>
      </x:c>
      <x:c r="M35" s="18" t="str">
        <x:v>Cumulative children ≠ current enrolment</x:v>
      </x:c>
    </x:row>
    <x:row r="36">
      <x:c r="A36" s="18" t="n">
        <x:v>32</x:v>
      </x:c>
      <x:c r="B36" s="18" t="str">
        <x:v>Kidzee/Zee Learn</x:v>
      </x:c>
      <x:c r="C36" s="18" t="str">
        <x:v>India</x:v>
      </x:c>
      <x:c r="D36" s="18" t="str">
        <x:v>Preschool franchise</x:v>
      </x:c>
      <x:c r="E36" s="18" t="str">
        <x:v>Preschool centres</x:v>
      </x:c>
      <x:c r="F36" s="18" t="str">
        <x:v>Investment INR1.5–1.6m; 2000–3000 sq ft</x:v>
      </x:c>
      <x:c r="G36" s="18" t="str">
        <x:v>&gt;1900 centres in &gt;750 cities self-reported</x:v>
      </x:c>
      <x:c r="H36" s="18" t="str">
        <x:v>Franchise</x:v>
      </x:c>
      <x:c r="I36" s="18" t="str">
        <x:v>https://www.kidzee.com/partner-with-kidzee</x:v>
      </x:c>
      <x:c r="J36" s="18" t="str">
        <x:v>accessed 2026-07-25</x:v>
      </x:c>
      <x:c r="K36" s="18" t="str">
        <x:v>medium</x:v>
      </x:c>
      <x:c r="L36" s="18" t="str">
        <x:v>Transparent entry CAPEX + compact playbook</x:v>
      </x:c>
      <x:c r="M36" s="18" t="str">
        <x:v>Research claims lack public methodology</x:v>
      </x:c>
    </x:row>
    <x:row r="37">
      <x:c r="A37" s="18" t="n">
        <x:v>33</x:v>
      </x:c>
      <x:c r="B37" s="18" t="str">
        <x:v>LEAD Group</x:v>
      </x:c>
      <x:c r="C37" s="18" t="str">
        <x:v>India</x:v>
      </x:c>
      <x:c r="D37" s="18" t="str">
        <x:v>B2B school operating system</x:v>
      </x:c>
      <x:c r="E37" s="18" t="str">
        <x:v>Curriculum; teacher tools; parent app</x:v>
      </x:c>
      <x:c r="F37" s="18" t="str">
        <x:v>B2B quotation</x:v>
      </x:c>
      <x:c r="G37" s="18" t="str">
        <x:v>9000 schools; 4.1m students; 65000 teachers self-reported</x:v>
      </x:c>
      <x:c r="H37" s="18" t="str">
        <x:v>School-as-a-service / SaaS</x:v>
      </x:c>
      <x:c r="I37" s="18" t="str">
        <x:v>https://leadschool.in/</x:v>
      </x:c>
      <x:c r="J37" s="18" t="str">
        <x:v>accessed 2026-07-25</x:v>
      </x:c>
      <x:c r="K37" s="18" t="str">
        <x:v>medium-low</x:v>
      </x:c>
      <x:c r="L37" s="18" t="str">
        <x:v>Asset-light curriculum/certification/reporting</x:v>
      </x:c>
      <x:c r="M37" s="18" t="str">
        <x:v>Scale and impact self-reported</x:v>
      </x:c>
    </x:row>
    <x:row r="38">
      <x:c r="A38" s="18" t="n">
        <x:v>34</x:v>
      </x:c>
      <x:c r="B38" s="18" t="str">
        <x:v>Physics Wallah</x:v>
      </x:c>
      <x:c r="C38" s="18" t="str">
        <x:v>India</x:v>
      </x:c>
      <x:c r="D38" s="18" t="str">
        <x:v>Exam prep hybrid</x:v>
      </x:c>
      <x:c r="E38" s="18" t="str">
        <x:v>Low-price online + centres</x:v>
      </x:c>
      <x:c r="F38" s="18" t="str">
        <x:v>Original batch INR999; product-specific</x:v>
      </x:c>
      <x:c r="G38" s="18" t="str">
        <x:v>Reuters 2024: 120+ centres; online ~55% revenue and more profitable</x:v>
      </x:c>
      <x:c r="H38" s="18" t="str">
        <x:v>Low-price digital + offline</x:v>
      </x:c>
      <x:c r="I38" s="18" t="str">
        <x:v>https://www.reuters.com/markets/deals/indias-physics-wallah-raises-210-mln-more-than-doubling-valuation-28-bln-2024-09-20/</x:v>
      </x:c>
      <x:c r="J38" s="18" t="str">
        <x:v>2024-09-20</x:v>
      </x:c>
      <x:c r="K38" s="18" t="str">
        <x:v>medium-high</x:v>
      </x:c>
      <x:c r="L38" s="18" t="str">
        <x:v>Online for reach/lead generation</x:v>
      </x:c>
      <x:c r="M38" s="18" t="str">
        <x:v>Exam-prep and India acquisition economics</x:v>
      </x:c>
    </x:row>
    <x:row r="39">
      <x:c r="A39" s="18" t="n">
        <x:v>35</x:v>
      </x:c>
      <x:c r="B39" s="18" t="str">
        <x:v>My First Skool</x:v>
      </x:c>
      <x:c r="C39" s="18" t="str">
        <x:v>Singapore</x:v>
      </x:c>
      <x:c r="D39" s="18" t="str">
        <x:v>ECEC</x:v>
      </x:c>
      <x:c r="E39" s="18" t="str">
        <x:v>Infant care–K2</x:v>
      </x:c>
      <x:c r="F39" s="18" t="str">
        <x:v>2026 from S$1235 infant; S$640 childcare before subsidy/GST; AOP cap S$610</x:v>
      </x:c>
      <x:c r="G39" s="18" t="str">
        <x:v>National anchor network</x:v>
      </x:c>
      <x:c r="H39" s="18" t="str">
        <x:v>Subsidised anchor-operator childcare</x:v>
      </x:c>
      <x:c r="I39" s="18" t="str">
        <x:v>https://www.myfirstskool.com/fees/</x:v>
      </x:c>
      <x:c r="J39" s="18" t="n">
        <x:v>2026</x:v>
      </x:c>
      <x:c r="K39" s="18" t="str">
        <x:v>high</x:v>
      </x:c>
      <x:c r="L39" s="18" t="str">
        <x:v>Simple price disclosure + subsidy journey</x:v>
      </x:c>
      <x:c r="M39" s="18" t="str">
        <x:v>Price caps and subsidies</x:v>
      </x:c>
    </x:row>
    <x:row r="40">
      <x:c r="A40" s="18" t="n">
        <x:v>36</x:v>
      </x:c>
      <x:c r="B40" s="18" t="str">
        <x:v>The Learning Lab</x:v>
      </x:c>
      <x:c r="C40" s="18" t="str">
        <x:v>Singapore</x:v>
      </x:c>
      <x:c r="D40" s="18" t="str">
        <x:v>Premium tutoring/enrichment</x:v>
      </x:c>
      <x:c r="E40" s="18" t="str">
        <x:v>N2–JC2; centre and online</x:v>
      </x:c>
      <x:c r="F40" s="18" t="str">
        <x:v>S$125.35–172.22/lesson by age; online cheaper</x:v>
      </x:c>
      <x:c r="G40" s="18" t="str">
        <x:v>10 listed centres</x:v>
      </x:c>
      <x:c r="H40" s="18" t="str">
        <x:v>Term billing; deposits; referrals</x:v>
      </x:c>
      <x:c r="I40" s="18" t="str">
        <x:v>https://www.thelearninglab.com.sg/programme/course-fees/</x:v>
      </x:c>
      <x:c r="J40" s="18" t="str">
        <x:v>2025/26</x:v>
      </x:c>
      <x:c r="K40" s="18" t="str">
        <x:v>high</x:v>
      </x:c>
      <x:c r="L40" s="18" t="str">
        <x:v>Excellent tariff architecture and referral reward</x:v>
      </x:c>
      <x:c r="M40" s="18" t="str">
        <x:v>Exam-driven willingness to pay differs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42" hidden="0" customWidth="1"/>
    <x:col min="4" max="4" width="48" hidden="0" customWidth="1"/>
    <x:col min="5" max="5" width="16" hidden="0" customWidth="1"/>
    <x:col min="6" max="6" width="34" hidden="0" customWidth="1"/>
    <x:col min="7" max="7" width="25" hidden="0" customWidth="1"/>
    <x:col min="8" max="8" width="18" hidden="0" customWidth="1"/>
    <x:col min="9" max="9" width="18" hidden="0" customWidth="1"/>
    <x:col min="10" max="10" width="25" hidden="0" customWidth="1"/>
    <x:col min="11" max="11" width="50" hidden="0" customWidth="1"/>
  </x:cols>
  <x:sheetData>
    <x:row r="1" ht="30" customHeight="1">
      <x:c r="A1" s="4" t="str">
        <x:v>Родитель, отзывы, удержание и каналы</x:v>
      </x:c>
      <x:c r="B1" s="4" t="str">
        <x:v>Родитель, отзывы, удержание и каналы</x:v>
      </x:c>
      <x:c r="C1" s="4" t="str">
        <x:v>Родитель, отзывы, удержание и каналы</x:v>
      </x:c>
      <x:c r="D1" s="4" t="str">
        <x:v>Родитель, отзывы, удержание и каналы</x:v>
      </x:c>
      <x:c r="E1" s="4" t="str">
        <x:v>Родитель, отзывы, удержание и каналы</x:v>
      </x:c>
      <x:c r="F1" s="4" t="str">
        <x:v>Родитель, отзывы, удержание и каналы</x:v>
      </x:c>
      <x:c r="G1" s="4" t="str">
        <x:v>Родитель, отзывы, удержание и каналы</x:v>
      </x:c>
      <x:c r="H1" s="4" t="str">
        <x:v>Родитель, отзывы, удержание и каналы</x:v>
      </x:c>
      <x:c r="I1" s="4" t="str">
        <x:v>Родитель, отзывы, удержание и каналы</x:v>
      </x:c>
      <x:c r="J1" s="4" t="str">
        <x:v>Родитель, отзывы, удержание и каналы</x:v>
      </x:c>
      <x:c r="K1" s="4" t="str">
        <x:v>Родитель, отзывы, удержание и каналы</x:v>
      </x:c>
      <x:c r="L1" s="4" t="str">
        <x:v>Родитель, отзывы, удержание и каналы</x:v>
      </x:c>
      <x:c r="M1" s="4" t="str">
        <x:v>Родитель, отзывы, удержание и каналы</x:v>
      </x:c>
    </x:row>
    <x:row r="2" ht="32" customHeight="1">
      <x:c r="A2" s="8" t="str">
        <x:v>Доступная рамка — 971 отзыв; ручная качественная выборка — 75 фрагментов / 13 страниц. Частоты нельзя переносить на рынок как репрезентативные без полного воспроизводимого корпуса 300+.</x:v>
      </x:c>
      <x:c r="B2" s="8" t="str">
        <x:v>Доступная рамка — 971 отзыв; ручная качественная выборка — 75 фрагментов / 13 страниц. Частоты нельзя переносить на рынок как репрезентативные без полного воспроизводимого корпуса 300+.</x:v>
      </x:c>
      <x:c r="C2" s="8" t="str">
        <x:v>Доступная рамка — 971 отзыв; ручная качественная выборка — 75 фрагментов / 13 страниц. Частоты нельзя переносить на рынок как репрезентативные без полного воспроизводимого корпуса 300+.</x:v>
      </x:c>
      <x:c r="D2" s="8" t="str">
        <x:v>Доступная рамка — 971 отзыв; ручная качественная выборка — 75 фрагментов / 13 страниц. Частоты нельзя переносить на рынок как репрезентативные без полного воспроизводимого корпуса 300+.</x:v>
      </x:c>
      <x:c r="E2" s="8" t="str">
        <x:v>Доступная рамка — 971 отзыв; ручная качественная выборка — 75 фрагментов / 13 страниц. Частоты нельзя переносить на рынок как репрезентативные без полного воспроизводимого корпуса 300+.</x:v>
      </x:c>
      <x:c r="F2" s="8" t="str">
        <x:v>Доступная рамка — 971 отзыв; ручная качественная выборка — 75 фрагментов / 13 страниц. Частоты нельзя переносить на рынок как репрезентативные без полного воспроизводимого корпуса 300+.</x:v>
      </x:c>
      <x:c r="G2" s="8" t="str">
        <x:v>Доступная рамка — 971 отзыв; ручная качественная выборка — 75 фрагментов / 13 страниц. Частоты нельзя переносить на рынок как репрезентативные без полного воспроизводимого корпуса 300+.</x:v>
      </x:c>
      <x:c r="H2" s="8" t="str">
        <x:v>Доступная рамка — 971 отзыв; ручная качественная выборка — 75 фрагментов / 13 страниц. Частоты нельзя переносить на рынок как репрезентативные без полного воспроизводимого корпуса 300+.</x:v>
      </x:c>
      <x:c r="I2" s="8" t="str">
        <x:v>Доступная рамка — 971 отзыв; ручная качественная выборка — 75 фрагментов / 13 страниц. Частоты нельзя переносить на рынок как репрезентативные без полного воспроизводимого корпуса 300+.</x:v>
      </x:c>
      <x:c r="J2" s="8" t="str">
        <x:v>Доступная рамка — 971 отзыв; ручная качественная выборка — 75 фрагментов / 13 страниц. Частоты нельзя переносить на рынок как репрезентативные без полного воспроизводимого корпуса 300+.</x:v>
      </x:c>
      <x:c r="K2" s="8" t="str">
        <x:v>Доступная рамка — 971 отзыв; ручная качественная выборка — 75 фрагментов / 13 страниц. Частоты нельзя переносить на рынок как репрезентативные без полного воспроизводимого корпуса 300+.</x:v>
      </x:c>
      <x:c r="L2" s="8" t="str">
        <x:v>Доступная рамка — 971 отзыв; ручная качественная выборка — 75 фрагментов / 13 страниц. Частоты нельзя переносить на рынок как репрезентативные без полного воспроизводимого корпуса 300+.</x:v>
      </x:c>
      <x:c r="M2" s="8" t="str">
        <x:v>Доступная рамка — 971 отзыв; ручная качественная выборка — 75 фрагментов / 13 страниц. Частоты нельзя переносить на рынок как репрезентативные без полного воспроизводимого корпуса 300+.</x:v>
      </x:c>
    </x:row>
    <x:row r="4" ht="22" customHeight="1">
      <x:c r="A4" s="41" t="str">
        <x:v>Темы отзывов</x:v>
      </x:c>
      <x:c r="B4" s="41" t="str">
        <x:v>Темы отзывов</x:v>
      </x:c>
      <x:c r="C4" s="41" t="str">
        <x:v>Темы отзывов</x:v>
      </x:c>
      <x:c r="D4" s="41" t="str">
        <x:v>Темы отзывов</x:v>
      </x:c>
      <x:c r="E4" s="41" t="str">
        <x:v>Темы отзывов</x:v>
      </x:c>
      <x:c r="F4" s="41" t="str">
        <x:v>Темы отзывов</x:v>
      </x:c>
      <x:c r="G4" s="41" t="str">
        <x:v>Темы отзывов</x:v>
      </x:c>
    </x:row>
    <x:row r="5" ht="30" customHeight="1">
      <x:c r="A5" s="14" t="str">
        <x:v>theme</x:v>
      </x:c>
      <x:c r="B5" s="14" t="str">
        <x:v>pages_with_theme</x:v>
      </x:c>
      <x:c r="C5" s="14" t="str">
        <x:v>total_pages</x:v>
      </x:c>
      <x:c r="D5" s="14" t="str">
        <x:v>share_pages</x:v>
      </x:c>
      <x:c r="E5" s="14" t="str">
        <x:v>interpretation</x:v>
      </x:c>
      <x:c r="F5" s="14" t="str">
        <x:v>evidence_class</x:v>
      </x:c>
      <x:c r="G5" s="14" t="str">
        <x:v>confidence</x:v>
      </x:c>
    </x:row>
    <x:row r="6">
      <x:c r="A6" s="18" t="str">
        <x:v>Теплота и компетентность педагога</x:v>
      </x:c>
      <x:c r="B6" s="18" t="n">
        <x:v>13</x:v>
      </x:c>
      <x:c r="C6" s="18" t="n">
        <x:v>13</x:v>
      </x:c>
      <x:c r="D6" s="18" t="n">
        <x:v>1</x:v>
      </x:c>
      <x:c r="E6" s="18" t="str">
        <x:v>Главный язык доверия; сам по себе не является дифференциатором</x:v>
      </x:c>
      <x:c r="F6" s="18" t="str">
        <x:v>manual qualitative subsample</x:v>
      </x:c>
      <x:c r="G6" s="18" t="str">
        <x:v>medium</x:v>
      </x:c>
    </x:row>
    <x:row r="7">
      <x:c r="A7" s="18" t="str">
        <x:v>Ребёнок хочет ходить / мягкая адаптация</x:v>
      </x:c>
      <x:c r="B7" s="18" t="n">
        <x:v>10</x:v>
      </x:c>
      <x:c r="C7" s="18" t="n">
        <x:v>13</x:v>
      </x:c>
      <x:c r="D7" s="18" t="n">
        <x:v>0.769</x:v>
      </x:c>
      <x:c r="E7" s="18" t="str">
        <x:v>Сильный наблюдаемый результат в дошкольном сегменте</x:v>
      </x:c>
      <x:c r="F7" s="18" t="str">
        <x:v>manual qualitative subsample</x:v>
      </x:c>
      <x:c r="G7" s="18" t="str">
        <x:v>medium</x:v>
      </x:c>
    </x:row>
    <x:row r="8">
      <x:c r="A8" s="18" t="str">
        <x:v>Учебный прогресс или результат</x:v>
      </x:c>
      <x:c r="B8" s="18" t="n">
        <x:v>9</x:v>
      </x:c>
      <x:c r="C8" s="18" t="n">
        <x:v>13</x:v>
      </x:c>
      <x:c r="D8" s="18" t="n">
        <x:v>0.692</x:v>
      </x:c>
      <x:c r="E8" s="18" t="str">
        <x:v>Родители ищут эффект, но организации редко дают сравнимые доказательства</x:v>
      </x:c>
      <x:c r="F8" s="18" t="str">
        <x:v>manual qualitative subsample</x:v>
      </x:c>
      <x:c r="G8" s="18" t="str">
        <x:v>medium</x:v>
      </x:c>
    </x:row>
    <x:row r="9">
      <x:c r="A9" s="18" t="str">
        <x:v>Атмосфера, безопасность, психологический комфорт</x:v>
      </x:c>
      <x:c r="B9" s="18" t="n">
        <x:v>9</x:v>
      </x:c>
      <x:c r="C9" s="18" t="n">
        <x:v>13</x:v>
      </x:c>
      <x:c r="D9" s="18" t="n">
        <x:v>0.692</x:v>
      </x:c>
      <x:c r="E9" s="18" t="str">
        <x:v>Гигиенический минимум для высокого чека</x:v>
      </x:c>
      <x:c r="F9" s="18" t="str">
        <x:v>manual qualitative subsample</x:v>
      </x:c>
      <x:c r="G9" s="18" t="str">
        <x:v>medium</x:v>
      </x:c>
    </x:row>
    <x:row r="10">
      <x:c r="A10" s="18" t="str">
        <x:v>Полный день, программы на месте, удобство</x:v>
      </x:c>
      <x:c r="B10" s="18" t="n">
        <x:v>8</x:v>
      </x:c>
      <x:c r="C10" s="18" t="n">
        <x:v>13</x:v>
      </x:c>
      <x:c r="D10" s="18" t="n">
        <x:v>0.615</x:v>
      </x:c>
      <x:c r="E10" s="18" t="str">
        <x:v>Монетизируемая семейная задача</x:v>
      </x:c>
      <x:c r="F10" s="18" t="str">
        <x:v>manual qualitative subsample</x:v>
      </x:c>
      <x:c r="G10" s="18" t="str">
        <x:v>medium</x:v>
      </x:c>
    </x:row>
    <x:row r="11">
      <x:c r="A11" s="18" t="str">
        <x:v>Положительная связь с администрацией</x:v>
      </x:c>
      <x:c r="B11" s="18" t="n">
        <x:v>6</x:v>
      </x:c>
      <x:c r="C11" s="18" t="n">
        <x:v>13</x:v>
      </x:c>
      <x:c r="D11" s="18" t="n">
        <x:v>0.462</x:v>
      </x:c>
      <x:c r="E11" s="18" t="str">
        <x:v>Укрепляет продление</x:v>
      </x:c>
      <x:c r="F11" s="18" t="str">
        <x:v>manual qualitative subsample</x:v>
      </x:c>
      <x:c r="G11" s="18" t="str">
        <x:v>medium-low</x:v>
      </x:c>
    </x:row>
    <x:row r="12">
      <x:c r="A12" s="18" t="str">
        <x:v>Жалобы на администрацию или процессы</x:v>
      </x:c>
      <x:c r="B12" s="18" t="n">
        <x:v>4</x:v>
      </x:c>
      <x:c r="C12" s="18" t="n">
        <x:v>13</x:v>
      </x:c>
      <x:c r="D12" s="18" t="n">
        <x:v>0.308</x:v>
      </x:c>
      <x:c r="E12" s="18" t="str">
        <x:v>Повторяющийся риск даже у высокооценённых брендов</x:v>
      </x:c>
      <x:c r="F12" s="18" t="str">
        <x:v>manual qualitative subsample</x:v>
      </x:c>
      <x:c r="G12" s="18" t="str">
        <x:v>medium-low</x:v>
      </x:c>
    </x:row>
    <x:row r="13">
      <x:c r="A13" s="18" t="str">
        <x:v>Еда</x:v>
      </x:c>
      <x:c r="B13" s="18" t="n">
        <x:v>4</x:v>
      </x:c>
      <x:c r="C13" s="18" t="n">
        <x:v>13</x:v>
      </x:c>
      <x:c r="D13" s="18" t="n">
        <x:v>0.308</x:v>
      </x:c>
      <x:c r="E13" s="18" t="str">
        <x:v>Значима в саду и полном дне, редко самостоятельный reason-to-buy</x:v>
      </x:c>
      <x:c r="F13" s="18" t="str">
        <x:v>manual qualitative subsample</x:v>
      </x:c>
      <x:c r="G13" s="18" t="str">
        <x:v>medium-low</x:v>
      </x:c>
    </x:row>
    <x:row r="14">
      <x:c r="A14" s="18" t="str">
        <x:v>Цена, доплаты, перерасчёт и возвраты</x:v>
      </x:c>
      <x:c r="B14" s="18" t="n">
        <x:v>3</x:v>
      </x:c>
      <x:c r="C14" s="18" t="n">
        <x:v>13</x:v>
      </x:c>
      <x:c r="D14" s="18" t="n">
        <x:v>0.231</x:v>
      </x:c>
      <x:c r="E14" s="18" t="str">
        <x:v>Прозрачный договор может стать преимуществом</x:v>
      </x:c>
      <x:c r="F14" s="18" t="str">
        <x:v>manual qualitative subsample</x:v>
      </x:c>
      <x:c r="G14" s="18" t="str">
        <x:v>medium-low</x:v>
      </x:c>
    </x:row>
    <x:row r="15">
      <x:c r="A15" s="18" t="str">
        <x:v>Помещение, чистота, ремонт</x:v>
      </x:c>
      <x:c r="B15" s="18" t="n">
        <x:v>3</x:v>
      </x:c>
      <x:c r="C15" s="18" t="n">
        <x:v>13</x:v>
      </x:c>
      <x:c r="D15" s="18" t="n">
        <x:v>0.231</x:v>
      </x:c>
      <x:c r="E15" s="18" t="str">
        <x:v>Несоответствие быстро разрушает премиальное обещание</x:v>
      </x:c>
      <x:c r="F15" s="18" t="str">
        <x:v>manual qualitative subsample</x:v>
      </x:c>
      <x:c r="G15" s="18" t="str">
        <x:v>medium-low</x:v>
      </x:c>
    </x:row>
    <x:row r="16">
      <x:c r="A16" s="18" t="str">
        <x:v>Текучесть или неоднородность педагогов</x:v>
      </x:c>
      <x:c r="B16" s="18" t="n">
        <x:v>1</x:v>
      </x:c>
      <x:c r="C16" s="18" t="n">
        <x:v>13</x:v>
      </x:c>
      <x:c r="D16" s="18" t="n">
        <x:v>0.077</x:v>
      </x:c>
      <x:c r="E16" s="18" t="str">
        <x:v>Редко видна публично, но критична; требует внутренней проверки</x:v>
      </x:c>
      <x:c r="F16" s="18" t="str">
        <x:v>manual qualitative subsample</x:v>
      </x:c>
      <x:c r="G16" s="18" t="str">
        <x:v>low</x:v>
      </x:c>
    </x:row>
    <x:row r="18" ht="22" customHeight="1">
      <x:c r="A18" s="41" t="str">
        <x:v>Методика и ограничения корпуса</x:v>
      </x:c>
      <x:c r="B18" s="41" t="str">
        <x:v>Методика и ограничения корпуса</x:v>
      </x:c>
      <x:c r="C18" s="41" t="str">
        <x:v>Методика и ограничения корпуса</x:v>
      </x:c>
      <x:c r="D18" s="41" t="str">
        <x:v>Методика и ограничения корпуса</x:v>
      </x:c>
      <x:c r="E18" s="41" t="str">
        <x:v>Методика и ограничения корпуса</x:v>
      </x:c>
      <x:c r="F18" s="41" t="str">
        <x:v>Методика и ограничения корпуса</x:v>
      </x:c>
      <x:c r="G18" s="41" t="str">
        <x:v>Методика и ограничения корпуса</x:v>
      </x:c>
      <x:c r="H18" s="41" t="str">
        <x:v>Методика и ограничения корпуса</x:v>
      </x:c>
    </x:row>
    <x:row r="19" ht="30" customHeight="1">
      <x:c r="A19" s="14" t="str">
        <x:v>metric</x:v>
      </x:c>
      <x:c r="B19" s="14" t="str">
        <x:v>value</x:v>
      </x:c>
      <x:c r="C19" s="14" t="str">
        <x:v>unit</x:v>
      </x:c>
      <x:c r="D19" s="14" t="str">
        <x:v>period</x:v>
      </x:c>
      <x:c r="E19" s="14" t="str">
        <x:v>scope</x:v>
      </x:c>
      <x:c r="F19" s="14" t="str">
        <x:v>method</x:v>
      </x:c>
      <x:c r="G19" s="14" t="str">
        <x:v>confidence</x:v>
      </x:c>
      <x:c r="H19" s="14" t="str">
        <x:v>limitation</x:v>
      </x:c>
    </x:row>
    <x:row r="20">
      <x:c r="A20" s="18" t="str">
        <x:v>Accessible review frame</x:v>
      </x:c>
      <x:c r="B20" s="18" t="n">
        <x:v>971</x:v>
      </x:c>
      <x:c r="C20" s="18" t="str">
        <x:v>reviews</x:v>
      </x:c>
      <x:c r="D20" s="18" t="str">
        <x:v>2019–2026-07</x:v>
      </x:c>
      <x:c r="E20" s="18" t="str">
        <x:v>18 public brand/location cards</x:v>
      </x:c>
      <x:c r="F20" s="18" t="str">
        <x:v>sum of visible card review counts</x:v>
      </x:c>
      <x:c r="G20" s="18" t="str">
        <x:v>medium-high</x:v>
      </x:c>
      <x:c r="H20" s="18" t="str">
        <x:v>texts not reproducibly exportable; platform ranking</x:v>
      </x:c>
    </x:row>
    <x:row r="21">
      <x:c r="A21" s="18" t="str">
        <x:v>Manual qualitative subsample</x:v>
      </x:c>
      <x:c r="B21" s="18" t="n">
        <x:v>75</x:v>
      </x:c>
      <x:c r="C21" s="18" t="str">
        <x:v>text fragments</x:v>
      </x:c>
      <x:c r="D21" s="18" t="str">
        <x:v>2019–2026-07</x:v>
      </x:c>
      <x:c r="E21" s="18" t="str">
        <x:v>13 brand/pages</x:v>
      </x:c>
      <x:c r="F21" s="18" t="str">
        <x:v>up to five recent substantive texts per brand plus visible critical reviews</x:v>
      </x:c>
      <x:c r="G21" s="18" t="str">
        <x:v>medium</x:v>
      </x:c>
      <x:c r="H21" s="18" t="str">
        <x:v>purposive non-probability sample</x:v>
      </x:c>
    </x:row>
    <x:row r="22">
      <x:c r="A22" s="18" t="str">
        <x:v>Fully coded corpus</x:v>
      </x:c>
      <x:c r="B22" s="32" t="str">
        <x:v>NOT_PROVEN</x:v>
      </x:c>
      <x:c r="C22" s="18" t="str">
        <x:v>reviews</x:v>
      </x:c>
      <x:c r="D22" s="18" t="str">
        <x:v>2019–2026-07</x:v>
      </x:c>
      <x:c r="E22" s="18" t="str">
        <x:v>target 300+</x:v>
      </x:c>
      <x:c r="F22" s="18" t="str">
        <x:v>not completed because platforms did not expose reproducible text export</x:v>
      </x:c>
      <x:c r="G22" s="18" t="str">
        <x:v>high</x:v>
      </x:c>
      <x:c r="H22" s="18" t="str">
        <x:v>topic frequencies cannot be generalized to the full market</x:v>
      </x:c>
    </x:row>
    <x:row r="25" ht="22" customHeight="1">
      <x:c r="A25" s="41" t="str">
        <x:v>Что фактически покупает родитель</x:v>
      </x:c>
      <x:c r="B25" s="41" t="str">
        <x:v>Что фактически покупает родитель</x:v>
      </x:c>
      <x:c r="C25" s="41" t="str">
        <x:v>Что фактически покупает родитель</x:v>
      </x:c>
      <x:c r="D25" s="41" t="str">
        <x:v>Что фактически покупает родитель</x:v>
      </x:c>
      <x:c r="E25" s="41" t="str">
        <x:v>Что фактически покупает родитель</x:v>
      </x:c>
      <x:c r="F25" s="41" t="str">
        <x:v>Что фактически покупает родитель</x:v>
      </x:c>
      <x:c r="G25" s="41" t="str">
        <x:v>Что фактически покупает родитель</x:v>
      </x:c>
    </x:row>
    <x:row r="26" ht="30" customHeight="1">
      <x:c r="A26" s="14" t="str">
        <x:v>segment</x:v>
      </x:c>
      <x:c r="B26" s="14" t="str">
        <x:v>job_to_be_done</x:v>
      </x:c>
      <x:c r="C26" s="14" t="str">
        <x:v>must_have</x:v>
      </x:c>
      <x:c r="D26" s="14" t="str">
        <x:v>willingness_to_pay_for</x:v>
      </x:c>
      <x:c r="E26" s="14" t="str">
        <x:v>main_churn_drivers</x:v>
      </x:c>
      <x:c r="F26" s="14" t="str">
        <x:v>evidence</x:v>
      </x:c>
      <x:c r="G26" s="14" t="str">
        <x:v>confidence</x:v>
      </x:c>
    </x:row>
    <x:row r="27">
      <x:c r="A27" s="18" t="str">
        <x:v>Private_preschool</x:v>
      </x:c>
      <x:c r="B27" s="18" t="str">
        <x:v>Safe full day, child wellbeing and compatibility with family work</x:v>
      </x:c>
      <x:c r="C27" s="18" t="str">
        <x:v>proximity; teacher; treatment of child; schedule; reputation</x:v>
      </x:c>
      <x:c r="D27" s="18" t="str">
        <x:v>small group; stable strong teacher; flexibility; transparent feedback</x:v>
      </x:c>
      <x:c r="E27" s="18" t="str">
        <x:v>child stress; rudeness/indifference; teacher change; unresolved conflict; inconvenient schedule</x:v>
      </x:c>
      <x:c r="F27" s="18" t="str">
        <x:v>HSE qualitative preschool study; HSE parent surveys; UK DfE 2025</x:v>
      </x:c>
      <x:c r="G27" s="18" t="str">
        <x:v>medium</x:v>
      </x:c>
    </x:row>
    <x:row r="28">
      <x:c r="A28" s="18" t="str">
        <x:v>Private_school</x:v>
      </x:c>
      <x:c r="B28" s="18" t="str">
        <x:v>A safe child trajectory and lower risk of losing years</x:v>
      </x:c>
      <x:c r="C28" s="18" t="str">
        <x:v>teachers; climate; individual attention; safety; results; full day</x:v>
      </x:c>
      <x:c r="D28" s="18" t="str">
        <x:v>small class; strong class teacher; evidenced progress; clear next-stage preparation</x:v>
      </x:c>
      <x:c r="E28" s="18" t="str">
        <x:v>poor relationships; too little attention; weak lessons; no result; discipline; food</x:v>
      </x:c>
      <x:c r="F28" s="18" t="str">
        <x:v>HSE 14,337 parent survey; MGPU 10,081 Moscow parents</x:v>
      </x:c>
      <x:c r="G28" s="18" t="str">
        <x:v>medium-high</x:v>
      </x:c>
    </x:row>
    <x:row r="29">
      <x:c r="A29" s="18" t="str">
        <x:v>Additional_education</x:v>
      </x:c>
      <x:c r="B29" s="18" t="str">
        <x:v>Child interest and observable result without excessive family logistics</x:v>
      </x:c>
      <x:c r="C29" s="18" t="str">
        <x:v>teacher; child's desire; proximity; schedule; cost</x:v>
      </x:c>
      <x:c r="D29" s="18" t="str">
        <x:v>strong mentor; real project/portfolio; small group; convenient package</x:v>
      </x:c>
      <x:c r="E29" s="18" t="str">
        <x:v>loss of interest; school load; inconvenient schedule; invisible result; teacher departure</x:v>
      </x:c>
      <x:c r="F29" s="18" t="str">
        <x:v>HSE parent studies; review-theme sample</x:v>
      </x:c>
      <x:c r="G29" s="18" t="str">
        <x:v>medium</x:v>
      </x:c>
    </x:row>
    <x:row r="32" ht="22" customHeight="1">
      <x:c r="A32" s="41" t="str">
        <x:v>Путь родителя</x:v>
      </x:c>
      <x:c r="B32" s="41" t="str">
        <x:v>Путь родителя</x:v>
      </x:c>
      <x:c r="C32" s="41" t="str">
        <x:v>Путь родителя</x:v>
      </x:c>
      <x:c r="D32" s="41" t="str">
        <x:v>Путь родителя</x:v>
      </x:c>
      <x:c r="E32" s="41" t="str">
        <x:v>Путь родителя</x:v>
      </x:c>
      <x:c r="F32" s="41" t="str">
        <x:v>Путь родителя</x:v>
      </x:c>
      <x:c r="G32" s="41" t="str">
        <x:v>Путь родителя</x:v>
      </x:c>
      <x:c r="H32" s="41" t="str">
        <x:v>Путь родителя</x:v>
      </x:c>
    </x:row>
    <x:row r="33" ht="30" customHeight="1">
      <x:c r="A33" s="14" t="str">
        <x:v>segment</x:v>
      </x:c>
      <x:c r="B33" s="14" t="str">
        <x:v>stage</x:v>
      </x:c>
      <x:c r="C33" s="14" t="str">
        <x:v>parent_action</x:v>
      </x:c>
      <x:c r="D33" s="14" t="str">
        <x:v>trust_point</x:v>
      </x:c>
      <x:c r="E33" s="14" t="str">
        <x:v>metric</x:v>
      </x:c>
    </x:row>
    <x:row r="34">
      <x:c r="A34" s="18" t="str">
        <x:v>Private_preschool</x:v>
      </x:c>
      <x:c r="B34" s="18" t="str">
        <x:v>Trigger</x:v>
      </x:c>
      <x:c r="C34" s="18" t="str">
        <x:v>return to work; queue; bad previous experience</x:v>
      </x:c>
      <x:c r="D34" s="18" t="str">
        <x:v>problem urgency</x:v>
      </x:c>
      <x:c r="E34" s="18" t="str">
        <x:v>qualified demand by desired start month</x:v>
      </x:c>
    </x:row>
    <x:row r="35">
      <x:c r="A35" s="18" t="str">
        <x:v>Private_preschool</x:v>
      </x:c>
      <x:c r="B35" s="18" t="str">
        <x:v>Search</x:v>
      </x:c>
      <x:c r="C35" s="18" t="str">
        <x:v>maps; recommendations; local search</x:v>
      </x:c>
      <x:c r="D35" s="18" t="str">
        <x:v>distance and hours</x:v>
      </x:c>
      <x:c r="E35" s="18" t="str">
        <x:v>qualified lead rate</x:v>
      </x:c>
    </x:row>
    <x:row r="36">
      <x:c r="A36" s="18" t="str">
        <x:v>Private_preschool</x:v>
      </x:c>
      <x:c r="B36" s="18" t="str">
        <x:v>Shortlist</x:v>
      </x:c>
      <x:c r="C36" s="18" t="str">
        <x:v>compare teacher, care, price and routine</x:v>
      </x:c>
      <x:c r="D36" s="18" t="str">
        <x:v>complete transparent price</x:v>
      </x:c>
      <x:c r="E36" s="18" t="str">
        <x:v>shortlist-to-tour rate</x:v>
      </x:c>
    </x:row>
    <x:row r="37">
      <x:c r="A37" s="18" t="str">
        <x:v>Private_preschool</x:v>
      </x:c>
      <x:c r="B37" s="18" t="str">
        <x:v>Proof</x:v>
      </x:c>
      <x:c r="C37" s="18" t="str">
        <x:v>tour; meet teacher; inspect safety</x:v>
      </x:c>
      <x:c r="D37" s="18" t="str">
        <x:v>adult stability and child treatment</x:v>
      </x:c>
      <x:c r="E37" s="18" t="str">
        <x:v>tour show-up</x:v>
      </x:c>
    </x:row>
    <x:row r="38">
      <x:c r="A38" s="18" t="str">
        <x:v>Private_preschool</x:v>
      </x:c>
      <x:c r="B38" s="18" t="str">
        <x:v>Trial</x:v>
      </x:c>
      <x:c r="C38" s="18" t="str">
        <x:v>adaptation day</x:v>
      </x:c>
      <x:c r="D38" s="18" t="str">
        <x:v>child state after visit</x:v>
      </x:c>
      <x:c r="E38" s="18" t="str">
        <x:v>trial-to-paid</x:v>
      </x:c>
    </x:row>
    <x:row r="39">
      <x:c r="A39" s="18" t="str">
        <x:v>Private_preschool</x:v>
      </x:c>
      <x:c r="B39" s="18" t="str">
        <x:v>Renewal</x:v>
      </x:c>
      <x:c r="C39" s="18" t="str">
        <x:v>observe daily wellbeing and communication</x:v>
      </x:c>
      <x:c r="D39" s="18" t="str">
        <x:v>stable teacher; prompt issue resolution; progress</x:v>
      </x:c>
      <x:c r="E39" s="18" t="str">
        <x:v>month-2 and month-6 retention</x:v>
      </x:c>
    </x:row>
    <x:row r="40">
      <x:c r="A40" s="18" t="str">
        <x:v>Private_school</x:v>
      </x:c>
      <x:c r="B40" s="18" t="str">
        <x:v>Trigger</x:v>
      </x:c>
      <x:c r="C40" s="18" t="str">
        <x:v>entry year; move; poor climate; weak result</x:v>
      </x:c>
      <x:c r="D40" s="18" t="str">
        <x:v>risk of losing years</x:v>
      </x:c>
      <x:c r="E40" s="18" t="str">
        <x:v>qualified diagnosis</x:v>
      </x:c>
    </x:row>
    <x:row r="41">
      <x:c r="A41" s="18" t="str">
        <x:v>Private_school</x:v>
      </x:c>
      <x:c r="B41" s="18" t="str">
        <x:v>Search</x:v>
      </x:c>
      <x:c r="C41" s="18" t="str">
        <x:v>recommendations; site; maps; ratings</x:v>
      </x:c>
      <x:c r="D41" s="18" t="str">
        <x:v>teacher and climate evidence</x:v>
      </x:c>
      <x:c r="E41" s="18" t="str">
        <x:v>diagnosis booking</x:v>
      </x:c>
    </x:row>
    <x:row r="42">
      <x:c r="A42" s="18" t="str">
        <x:v>Private_school</x:v>
      </x:c>
      <x:c r="B42" s="18" t="str">
        <x:v>Proof</x:v>
      </x:c>
      <x:c r="C42" s="18" t="str">
        <x:v>diagnostic; class observation; team interview</x:v>
      </x:c>
      <x:c r="D42" s="18" t="str">
        <x:v>trajectory and measurable baseline</x:v>
      </x:c>
      <x:c r="E42" s="18" t="str">
        <x:v>diagnosis-to-observation</x:v>
      </x:c>
    </x:row>
    <x:row r="43">
      <x:c r="A43" s="18" t="str">
        <x:v>Private_school</x:v>
      </x:c>
      <x:c r="B43" s="18" t="str">
        <x:v>Decision</x:v>
      </x:c>
      <x:c r="C43" s="18" t="str">
        <x:v>contract and payment</x:v>
      </x:c>
      <x:c r="D43" s="18" t="str">
        <x:v>clear full cost and attestation route</x:v>
      </x:c>
      <x:c r="E43" s="18" t="str">
        <x:v>observation-to-paid</x:v>
      </x:c>
    </x:row>
    <x:row r="44">
      <x:c r="A44" s="18" t="str">
        <x:v>Private_school</x:v>
      </x:c>
      <x:c r="B44" s="18" t="str">
        <x:v>Renewal</x:v>
      </x:c>
      <x:c r="C44" s="18" t="str">
        <x:v>progress and wellbeing review</x:v>
      </x:c>
      <x:c r="D44" s="18" t="str">
        <x:v>next-year trajectory</x:v>
      </x:c>
      <x:c r="E44" s="18" t="str">
        <x:v>annual renewal</x:v>
      </x:c>
    </x:row>
    <x:row r="45">
      <x:c r="A45" s="18" t="str">
        <x:v>Additional_education</x:v>
      </x:c>
      <x:c r="B45" s="18" t="str">
        <x:v>Trigger</x:v>
      </x:c>
      <x:c r="C45" s="18" t="str">
        <x:v>interest; skill gap; after-school occupancy</x:v>
      </x:c>
      <x:c r="D45" s="18" t="str">
        <x:v>child motivation</x:v>
      </x:c>
      <x:c r="E45" s="18" t="str">
        <x:v>qualified trial</x:v>
      </x:c>
    </x:row>
    <x:row r="46">
      <x:c r="A46" s="18" t="str">
        <x:v>Additional_education</x:v>
      </x:c>
      <x:c r="B46" s="18" t="str">
        <x:v>Search</x:v>
      </x:c>
      <x:c r="C46" s="18" t="str">
        <x:v>child request; recommendations; local search</x:v>
      </x:c>
      <x:c r="D46" s="18" t="str">
        <x:v>teacher, timetable and examples</x:v>
      </x:c>
      <x:c r="E46" s="18" t="str">
        <x:v>trial booking</x:v>
      </x:c>
    </x:row>
    <x:row r="47">
      <x:c r="A47" s="18" t="str">
        <x:v>Additional_education</x:v>
      </x:c>
      <x:c r="B47" s="18" t="str">
        <x:v>Trial</x:v>
      </x:c>
      <x:c r="C47" s="18" t="str">
        <x:v>one or two classes</x:v>
      </x:c>
      <x:c r="D47" s="18" t="str">
        <x:v>visible artifact and child interest</x:v>
      </x:c>
      <x:c r="E47" s="18" t="str">
        <x:v>trial-to-eight-week</x:v>
      </x:c>
    </x:row>
    <x:row r="48">
      <x:c r="A48" s="18" t="str">
        <x:v>Additional_education</x:v>
      </x:c>
      <x:c r="B48" s="18" t="str">
        <x:v>Renewal</x:v>
      </x:c>
      <x:c r="C48" s="18" t="str">
        <x:v>finish project and move to next level</x:v>
      </x:c>
      <x:c r="D48" s="18" t="str">
        <x:v>portfolio and next step</x:v>
      </x:c>
      <x:c r="E48" s="18" t="str">
        <x:v>cycle completion and paid renewal</x:v>
      </x:c>
    </x:row>
    <x:row r="51" ht="22" customHeight="1">
      <x:c r="A51" s="41" t="str">
        <x:v>Тесты каналов: оффер, бюджет, метрика и отключение</x:v>
      </x:c>
      <x:c r="B51" s="41" t="str">
        <x:v>Тесты каналов: оффер, бюджет, метрика и отключение</x:v>
      </x:c>
      <x:c r="C51" s="41" t="str">
        <x:v>Тесты каналов: оффер, бюджет, метрика и отключение</x:v>
      </x:c>
      <x:c r="D51" s="41" t="str">
        <x:v>Тесты каналов: оффер, бюджет, метрика и отключение</x:v>
      </x:c>
      <x:c r="E51" s="41" t="str">
        <x:v>Тесты каналов: оффер, бюджет, метрика и отключение</x:v>
      </x:c>
      <x:c r="F51" s="41" t="str">
        <x:v>Тесты каналов: оффер, бюджет, метрика и отключение</x:v>
      </x:c>
      <x:c r="G51" s="41" t="str">
        <x:v>Тесты каналов: оффер, бюджет, метрика и отключение</x:v>
      </x:c>
      <x:c r="H51" s="41" t="str">
        <x:v>Тесты каналов: оффер, бюджет, метрика и отключение</x:v>
      </x:c>
      <x:c r="I51" s="41" t="str">
        <x:v>Тесты каналов: оффер, бюджет, метрика и отключение</x:v>
      </x:c>
      <x:c r="J51" s="41" t="str">
        <x:v>Тесты каналов: оффер, бюджет, метрика и отключение</x:v>
      </x:c>
      <x:c r="K51" s="41" t="str">
        <x:v>Тесты каналов: оффер, бюджет, метрика и отключение</x:v>
      </x:c>
      <x:c r="L51" s="41" t="str">
        <x:v>Тесты каналов: оффер, бюджет, метрика и отключение</x:v>
      </x:c>
      <x:c r="M51" s="41" t="str">
        <x:v>Тесты каналов: оффер, бюджет, метрика и отключение</x:v>
      </x:c>
    </x:row>
    <x:row r="52" ht="30" customHeight="1">
      <x:c r="A52" s="14" t="str">
        <x:v>channel</x:v>
      </x:c>
      <x:c r="B52" s="14" t="str">
        <x:v>target_segment</x:v>
      </x:c>
      <x:c r="C52" s="14" t="str">
        <x:v>offer</x:v>
      </x:c>
      <x:c r="D52" s="14" t="str">
        <x:v>example_message</x:v>
      </x:c>
      <x:c r="E52" s="14" t="str">
        <x:v>budget_low_rub</x:v>
      </x:c>
      <x:c r="F52" s="14" t="str">
        <x:v>budget_high_rub</x:v>
      </x:c>
      <x:c r="G52" s="14" t="str">
        <x:v>duration_days</x:v>
      </x:c>
      <x:c r="H52" s="14" t="str">
        <x:v>metric</x:v>
      </x:c>
      <x:c r="I52" s="14" t="str">
        <x:v>success_threshold</x:v>
      </x:c>
      <x:c r="J52" s="14" t="str">
        <x:v>stop_condition</x:v>
      </x:c>
      <x:c r="K52" s="14" t="str">
        <x:v>confidence</x:v>
      </x:c>
    </x:row>
    <x:row r="53">
      <x:c r="A53" s="18" t="str">
        <x:v>Local search, Maps and landing page</x:v>
      </x:c>
      <x:c r="B53" s="18" t="str">
        <x:v>Private_preschool</x:v>
      </x:c>
      <x:c r="C53" s="18" t="str">
        <x:v>full day near home; clear child day; tour plus adaptation day</x:v>
      </x:c>
      <x:c r="D53" s="18" t="str">
        <x:v>Полный день рядом с домом. Познакомьтесь с педагогом и пройдите адаптационный день до решения.</x:v>
      </x:c>
      <x:c r="E53" s="18" t="n">
        <x:v>80000</x:v>
      </x:c>
      <x:c r="F53" s="18" t="n">
        <x:v>150000</x:v>
      </x:c>
      <x:c r="G53" s="18" t="n">
        <x:v>42</x:v>
      </x:c>
      <x:c r="H53" s="18" t="str">
        <x:v>qualified CPL; tour rate; paid CAC</x:v>
      </x:c>
      <x:c r="I53" s="18" t="str">
        <x:v>CAC payback ≤3 months of contribution or CAC ≤10% of first-year gross contribution</x:v>
      </x:c>
      <x:c r="J53" s="18" t="str">
        <x:v>after 30 qualified leads CAC remains above threshold with no improvement</x:v>
      </x:c>
      <x:c r="K53" s="18" t="str">
        <x:v>medium</x:v>
      </x:c>
    </x:row>
    <x:row r="54">
      <x:c r="A54" s="18" t="str">
        <x:v>Diagnostic and observation day</x:v>
      </x:c>
      <x:c r="B54" s="18" t="str">
        <x:v>Private_school</x:v>
      </x:c>
      <x:c r="C54" s="18" t="str">
        <x:v>small class; calm climate; clear progress</x:v>
      </x:c>
      <x:c r="D54" s="18" t="str">
        <x:v>Диагностика без рекламных обещаний: покажем стартовую точку, день в классе и следующий шаг.</x:v>
      </x:c>
      <x:c r="E54" s="18" t="n">
        <x:v>60000</x:v>
      </x:c>
      <x:c r="F54" s="18" t="n">
        <x:v>120000</x:v>
      </x:c>
      <x:c r="G54" s="18" t="n">
        <x:v>42</x:v>
      </x:c>
      <x:c r="H54" s="18" t="str">
        <x:v>diagnostic-to-observation and paid conversion</x:v>
      </x:c>
      <x:c r="I54" s="18" t="str">
        <x:v>≥25% qualified diagnostics become contracts at acceptable CAC</x:v>
      </x:c>
      <x:c r="J54" s="18" t="str">
        <x:v>&lt;15% after 30 diagnostics</x:v>
      </x:c>
      <x:c r="K54" s="18" t="str">
        <x:v>medium</x:v>
      </x:c>
    </x:row>
    <x:row r="55">
      <x:c r="A55" s="18" t="str">
        <x:v>Referral programme</x:v>
      </x:c>
      <x:c r="B55" s="18" t="str">
        <x:v>Current_families</x:v>
      </x:c>
      <x:c r="C55" s="18" t="str">
        <x:v>reward only after referred family's first payment</x:v>
      </x:c>
      <x:c r="D55" s="18" t="str">
        <x:v>Порекомендуйте ArtHello семье, которой подходит формат; бонус — только после их первой оплаты.</x:v>
      </x:c>
      <x:c r="E55" s="18" t="n">
        <x:v>60000</x:v>
      </x:c>
      <x:c r="F55" s="18" t="n">
        <x:v>120000</x:v>
      </x:c>
      <x:c r="G55" s="18" t="n">
        <x:v>45</x:v>
      </x:c>
      <x:c r="H55" s="18" t="str">
        <x:v>qualified referrals; referral CAC</x:v>
      </x:c>
      <x:c r="I55" s="18" t="str">
        <x:v>≥20 qualified referrals; CAC ≤50% of paid channel</x:v>
      </x:c>
      <x:c r="J55" s="18" t="str">
        <x:v>&lt;10 qualified referrals by day 45</x:v>
      </x:c>
      <x:c r="K55" s="18" t="str">
        <x:v>medium</x:v>
      </x:c>
    </x:row>
    <x:row r="56">
      <x:c r="A56" s="18" t="str">
        <x:v>Paid mini-product</x:v>
      </x:c>
      <x:c r="B56" s="18" t="str">
        <x:v>Additional_education</x:v>
      </x:c>
      <x:c r="C56" s="18" t="str">
        <x:v>two classes plus a concrete final artifact</x:v>
      </x:c>
      <x:c r="D56" s="18" t="str">
        <x:v>Два занятия — и у ребёнка уже есть первый проект. Продолжайте только если видите интерес и результат.</x:v>
      </x:c>
      <x:c r="E56" s="18" t="n">
        <x:v>80000</x:v>
      </x:c>
      <x:c r="F56" s="18" t="n">
        <x:v>150000</x:v>
      </x:c>
      <x:c r="G56" s="18" t="n">
        <x:v>42</x:v>
      </x:c>
      <x:c r="H56" s="18" t="str">
        <x:v>trial-to-eight-week paid conversion</x:v>
      </x:c>
      <x:c r="I56" s="18" t="str">
        <x:v>≥35% convert to paid programme</x:v>
      </x:c>
      <x:c r="J56" s="18" t="str">
        <x:v>&lt;20% after 40 trials</x:v>
      </x:c>
      <x:c r="K56" s="18" t="str">
        <x:v>medium</x:v>
      </x:c>
    </x:row>
    <x:row r="57">
      <x:c r="A57" s="18" t="str">
        <x:v>Progress proof cases</x:v>
      </x:c>
      <x:c r="B57" s="18" t="str">
        <x:v>All_segments</x:v>
      </x:c>
      <x:c r="C57" s="18" t="str">
        <x:v>before/after, portfolio and short teacher explanation</x:v>
      </x:c>
      <x:c r="D57" s="18" t="str">
        <x:v>Не «раскрываем потенциал», а показываем: стартовая точка, работа ребёнка, следующий шаг.</x:v>
      </x:c>
      <x:c r="E57" s="18" t="n">
        <x:v>40000</x:v>
      </x:c>
      <x:c r="F57" s="18" t="n">
        <x:v>80000</x:v>
      </x:c>
      <x:c r="G57" s="18" t="n">
        <x:v>42</x:v>
      </x:c>
      <x:c r="H57" s="18" t="str">
        <x:v>landing/tour conversion lift</x:v>
      </x:c>
      <x:c r="I57" s="18" t="str">
        <x:v>≥20% lift at same qualified traffic</x:v>
      </x:c>
      <x:c r="J57" s="18" t="str">
        <x:v>no positive effect after 200 target visits</x:v>
      </x:c>
      <x:c r="K57" s="18" t="str">
        <x:v>medium-low</x:v>
      </x:c>
    </x:row>
    <x:row r="58">
      <x:c r="A58" s="18" t="str">
        <x:v>Local partnerships</x:v>
      </x:c>
      <x:c r="B58" s="18" t="str">
        <x:v>All_segments</x:v>
      </x:c>
      <x:c r="C58" s="18" t="str">
        <x:v>residential complexes, employers and family spaces</x:v>
      </x:c>
      <x:c r="D58" s="18" t="str">
        <x:v>Пилот для семей вашего ЖК/команды: короткая программа без покупки абонемента на год.</x:v>
      </x:c>
      <x:c r="E58" s="18" t="n">
        <x:v>30000</x:v>
      </x:c>
      <x:c r="F58" s="18" t="n">
        <x:v>80000</x:v>
      </x:c>
      <x:c r="G58" s="18" t="n">
        <x:v>60</x:v>
      </x:c>
      <x:c r="H58" s="18" t="str">
        <x:v>qualified leads and contracts by partner</x:v>
      </x:c>
      <x:c r="I58" s="18" t="str">
        <x:v>CAC ≥30% below paid search</x:v>
      </x:c>
      <x:c r="J58" s="18" t="str">
        <x:v>zero contracts after three partner activations</x:v>
      </x:c>
      <x:c r="K58" s="18" t="str">
        <x:v>medium-low</x:v>
      </x:c>
    </x:row>
  </x:sheetData>
  <x:mergeCells>
    <x:mergeCell ref="A1:M1"/>
    <x:mergeCell ref="A2:M2"/>
    <x:mergeCell ref="A4:G4"/>
    <x:mergeCell ref="A18:H18"/>
    <x:mergeCell ref="A25:G25"/>
    <x:mergeCell ref="A32:H32"/>
    <x:mergeCell ref="A51:M5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58" hidden="0" customWidth="1"/>
    <x:col min="3" max="3" width="56" hidden="0" customWidth="1"/>
    <x:col min="4" max="4" width="15" hidden="0" customWidth="1"/>
    <x:col min="5" max="5" width="48" hidden="0" customWidth="1"/>
    <x:col min="6" max="6" width="17" hidden="0" customWidth="1"/>
  </x:cols>
  <x:sheetData>
    <x:row r="1" ht="30" customHeight="1">
      <x:c r="A1" s="4" t="str">
        <x:v>Регулирование: практический риск‑реестр</x:v>
      </x:c>
      <x:c r="B1" s="4" t="str">
        <x:v>Регулирование: практический риск‑реестр</x:v>
      </x:c>
      <x:c r="C1" s="4" t="str">
        <x:v>Регулирование: практический риск‑реестр</x:v>
      </x:c>
      <x:c r="D1" s="4" t="str">
        <x:v>Регулирование: практический риск‑реестр</x:v>
      </x:c>
      <x:c r="E1" s="4" t="str">
        <x:v>Регулирование: практический риск‑реестр</x:v>
      </x:c>
      <x:c r="F1" s="4" t="str">
        <x:v>Регулирование: практический риск‑реестр</x:v>
      </x:c>
    </x:row>
    <x:row r="2" ht="32" customHeight="1">
      <x:c r="A2" s="8" t="str">
        <x:v>Это не юридическое заключение. Каждый адрес, юрлицо, договор и программа требуют проверки профильным образовательным юристом.</x:v>
      </x:c>
      <x:c r="B2" s="8" t="str">
        <x:v>Это не юридическое заключение. Каждый адрес, юрлицо, договор и программа требуют проверки профильным образовательным юристом.</x:v>
      </x:c>
      <x:c r="C2" s="8" t="str">
        <x:v>Это не юридическое заключение. Каждый адрес, юрлицо, договор и программа требуют проверки профильным образовательным юристом.</x:v>
      </x:c>
      <x:c r="D2" s="8" t="str">
        <x:v>Это не юридическое заключение. Каждый адрес, юрлицо, договор и программа требуют проверки профильным образовательным юристом.</x:v>
      </x:c>
      <x:c r="E2" s="8" t="str">
        <x:v>Это не юридическое заключение. Каждый адрес, юрлицо, договор и программа требуют проверки профильным образовательным юристом.</x:v>
      </x:c>
      <x:c r="F2" s="8" t="str">
        <x:v>Это не юридическое заключение. Каждый адрес, юрлицо, договор и программа требуют проверки профильным образовательным юристом.</x:v>
      </x:c>
    </x:row>
    <x:row r="4" ht="30" customHeight="1">
      <x:c r="A4" s="14" t="str">
        <x:v>area</x:v>
      </x:c>
      <x:c r="B4" s="14" t="str">
        <x:v>current_rule_or_change</x:v>
      </x:c>
      <x:c r="C4" s="14" t="str">
        <x:v>practical_effect</x:v>
      </x:c>
      <x:c r="D4" s="14" t="str">
        <x:v>risk_level</x:v>
      </x:c>
      <x:c r="E4" s="14" t="str">
        <x:v>verification</x:v>
      </x:c>
      <x:c r="F4" s="14" t="str">
        <x:v>source_id</x:v>
      </x:c>
    </x:row>
    <x:row r="5">
      <x:c r="A5" s="18" t="str">
        <x:v>Licence</x:v>
      </x:c>
      <x:c r="B5" s="18" t="str">
        <x:v>Educational activity is licensed; exception is an individual entrepreneur teaching personally without hired teachers</x:v>
      </x:c>
      <x:c r="C5" s="18" t="str">
        <x:v>A systematic programme cannot be hidden by calling it a club</x:v>
      </x:c>
      <x:c r="D5" s="18" t="str">
        <x:v>high</x:v>
      </x:c>
      <x:c r="E5" s="18" t="str">
        <x:v>lawyer and licence-register check for each entity/address/programme</x:v>
      </x:c>
      <x:c r="F5" s="18" t="str">
        <x:v>S8_S9</x:v>
      </x:c>
    </x:row>
    <x:row r="6">
      <x:c r="A6" s="18" t="str">
        <x:v>Care_and_supervision</x:v>
      </x:c>
      <x:c r="B6" s="18" t="str">
        <x:v>Care without delivering an educational programme may operate without an education licence</x:v>
      </x:c>
      <x:c r="C6" s="18" t="str">
        <x:v>Contract, advertising and actual work matter more than the label</x:v>
      </x:c>
      <x:c r="D6" s="18" t="str">
        <x:v>high</x:v>
      </x:c>
      <x:c r="E6" s="18" t="str">
        <x:v>lawyer review of factual service and contract</x:v>
      </x:c>
      <x:c r="F6" s="18" t="str">
        <x:v>S8_S9</x:v>
      </x:c>
    </x:row>
    <x:row r="7">
      <x:c r="A7" s="18" t="str">
        <x:v>Private_school</x:v>
      </x:c>
      <x:c r="B7" s="18" t="str">
        <x:v>Core general education requires the proper educational legal form; state accreditation applies to core school programmes</x:v>
      </x:c>
      <x:c r="C7" s="18" t="str">
        <x:v>Legal form, licence scope and attestation/accreditation route are critical</x:v>
      </x:c>
      <x:c r="D7" s="18" t="str">
        <x:v>critical</x:v>
      </x:c>
      <x:c r="E7" s="18" t="str">
        <x:v>specialist education lawyer</x:v>
      </x:c>
      <x:c r="F7" s="18" t="str">
        <x:v>S8_S9</x:v>
      </x:c>
    </x:row>
    <x:row r="8">
      <x:c r="A8" s="18" t="str">
        <x:v>Subsidies</x:v>
      </x:c>
      <x:c r="B8" s="18" t="str">
        <x:v>Regions may reimburse normative costs of private preschools and accredited private schools; property/utilities are often excluded</x:v>
      </x:c>
      <x:c r="C8" s="18" t="str">
        <x:v>Subsidy does not fix weak rent or CAPEX</x:v>
      </x:c>
      <x:c r="D8" s="18" t="str">
        <x:v>medium</x:v>
      </x:c>
      <x:c r="E8" s="18" t="str">
        <x:v>regional rules and accountant</x:v>
      </x:c>
      <x:c r="F8" s="18" t="str">
        <x:v>S8_S9</x:v>
      </x:c>
    </x:row>
    <x:row r="9">
      <x:c r="A9" s="18" t="str">
        <x:v>Sanitary_rules</x:v>
      </x:c>
      <x:c r="B9" s="18" t="str">
        <x:v>SP 2.4.2.4283-26 replaces SP 2.4.3648-20 from 2026-09-01; new food rules apply</x:v>
      </x:c>
      <x:c r="C9" s="18" t="str">
        <x:v>Audit premises, timetable, food and occupancy before September 2026</x:v>
      </x:c>
      <x:c r="D9" s="18" t="str">
        <x:v>high</x:v>
      </x:c>
      <x:c r="E9" s="18" t="str">
        <x:v>sanitary specialist for each site</x:v>
      </x:c>
      <x:c r="F9" s="18" t="str">
        <x:v>S10</x:v>
      </x:c>
    </x:row>
    <x:row r="10">
      <x:c r="A10" s="18" t="str">
        <x:v>Residential_premises</x:v>
      </x:c>
      <x:c r="B10" s="18" t="str">
        <x:v>Professional activity may be possible if residents' rights and requirements are met; sanitary rules cover some residential groups</x:v>
      </x:c>
      <x:c r="C10" s="18" t="str">
        <x:v>Not a universal permission for a kindergarten or school</x:v>
      </x:c>
      <x:c r="D10" s="18" t="str">
        <x:v>high</x:v>
      </x:c>
      <x:c r="E10" s="18" t="str">
        <x:v>property and sanitary lawyer</x:v>
      </x:c>
      <x:c r="F10" s="18" t="str">
        <x:v>S10</x:v>
      </x:c>
    </x:row>
    <x:row r="11">
      <x:c r="A11" s="18" t="str">
        <x:v>Fire_safety</x:v>
      </x:c>
      <x:c r="B11" s="18" t="str">
        <x:v>Government Resolution 1479 currently runs through 2026-12-31</x:v>
      </x:c>
      <x:c r="C11" s="32" t="str">
        <x:v>Post-2026 requirements are NOT_PROVEN as of cut-off</x:v>
      </x:c>
      <x:c r="D11" s="18" t="str">
        <x:v>high</x:v>
      </x:c>
      <x:c r="E11" s="18" t="str">
        <x:v>fire engineer and monitoring of replacement act</x:v>
      </x:c>
      <x:c r="F11" s="18" t="str">
        <x:v>S14</x:v>
      </x:c>
    </x:row>
    <x:row r="12">
      <x:c r="A12" s="18" t="str">
        <x:v>Online_hybrid</x:v>
      </x:c>
      <x:c r="B12" s="18" t="str">
        <x:v>Article 16 of 273-FZ and Resolution 1678 allow electronic/distance education; amendment 517 effective 2026-05-15</x:v>
      </x:c>
      <x:c r="C12" s="18" t="str">
        <x:v>Programme, site disclosure, assessment and interaction systems must be compliant</x:v>
      </x:c>
      <x:c r="D12" s="18" t="str">
        <x:v>high</x:v>
      </x:c>
      <x:c r="E12" s="18" t="str">
        <x:v>education lawyer and data-security review</x:v>
      </x:c>
      <x:c r="F12" s="18" t="str">
        <x:v>S11</x:v>
      </x:c>
    </x:row>
    <x:row r="13">
      <x:c r="A13" s="18" t="str">
        <x:v>Personal_data</x:v>
      </x:c>
      <x:c r="B13" s="18" t="str">
        <x:v>From 2025-09-01 consent must be separate; publishing photos needs separate consent; localization applies</x:v>
      </x:c>
      <x:c r="C13" s="18" t="str">
        <x:v>Maintain register of CRM, cameras, health data, RKN notification and incident process</x:v>
      </x:c>
      <x:c r="D13" s="18" t="str">
        <x:v>critical</x:v>
      </x:c>
      <x:c r="E13" s="18" t="str">
        <x:v>data-protection lawyer/DPO</x:v>
      </x:c>
      <x:c r="F13" s="18" t="str">
        <x:v>S12</x:v>
      </x:c>
    </x:row>
    <x:row r="14">
      <x:c r="A14" s="18" t="str">
        <x:v>VAT_USN</x:v>
      </x:c>
      <x:c r="B14" s="18" t="str">
        <x:v>Automatic VAT exemption threshold for USN is 20m RUB through 2029</x:v>
      </x:c>
      <x:c r="C14" s="18" t="str">
        <x:v>Crossing threshold requires VAT modelling by service type and exemption analysis</x:v>
      </x:c>
      <x:c r="D14" s="18" t="str">
        <x:v>high</x:v>
      </x:c>
      <x:c r="E14" s="18" t="str">
        <x:v>tax adviser for each entity and contract</x:v>
      </x:c>
      <x:c r="F14" s="18" t="str">
        <x:v>S13</x:v>
      </x:c>
    </x:row>
    <x:row r="15">
      <x:c r="A15" s="18" t="str">
        <x:v>Tax_benefits</x:v>
      </x:c>
      <x:c r="B15" s="18" t="str">
        <x:v>Education, childcare and certain club services may qualify for VAT relief and 0% profit tax if conditions are met</x:v>
      </x:c>
      <x:c r="C15" s="18" t="str">
        <x:v>Benefits are not automatic across all revenue of an entity</x:v>
      </x:c>
      <x:c r="D15" s="18" t="str">
        <x:v>high</x:v>
      </x:c>
      <x:c r="E15" s="18" t="str">
        <x:v>tax adviser and document review</x:v>
      </x:c>
      <x:c r="F15" s="18" t="str">
        <x:v>S13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5" hidden="0" customWidth="1"/>
    <x:col min="3" max="3" width="34" hidden="0" customWidth="1"/>
    <x:col min="4" max="4" width="18" hidden="0" customWidth="1"/>
    <x:col min="5" max="5" width="24" hidden="0" customWidth="1"/>
    <x:col min="6" max="6" width="24" hidden="0" customWidth="1"/>
    <x:col min="7" max="7" width="52" hidden="0" customWidth="1"/>
    <x:col min="8" max="8" width="55" hidden="0" customWidth="1"/>
    <x:col min="9" max="9" width="14" hidden="0" customWidth="1"/>
    <x:col min="10" max="10" width="16" hidden="0" customWidth="1"/>
    <x:col min="11" max="11" width="42" hidden="0" customWidth="1"/>
    <x:col min="12" max="12" width="50" hidden="0" customWidth="1"/>
  </x:cols>
  <x:sheetData>
    <x:row r="1" ht="30" customHeight="1">
      <x:c r="A1" s="4" t="str">
        <x:v>Реестр источников</x:v>
      </x:c>
      <x:c r="B1" s="4" t="str">
        <x:v>Реестр источников</x:v>
      </x:c>
      <x:c r="C1" s="4" t="str">
        <x:v>Реестр источников</x:v>
      </x:c>
      <x:c r="D1" s="4" t="str">
        <x:v>Реестр источников</x:v>
      </x:c>
      <x:c r="E1" s="4" t="str">
        <x:v>Реестр источников</x:v>
      </x:c>
      <x:c r="F1" s="4" t="str">
        <x:v>Реестр источников</x:v>
      </x:c>
      <x:c r="G1" s="4" t="str">
        <x:v>Реестр источников</x:v>
      </x:c>
      <x:c r="H1" s="4" t="str">
        <x:v>Реестр источников</x:v>
      </x:c>
      <x:c r="I1" s="4" t="str">
        <x:v>Реестр источников</x:v>
      </x:c>
      <x:c r="J1" s="4" t="str">
        <x:v>Реестр источников</x:v>
      </x:c>
      <x:c r="K1" s="4" t="str">
        <x:v>Реестр источников</x:v>
      </x:c>
      <x:c r="L1" s="4" t="str">
        <x:v>Реестр источников</x:v>
      </x:c>
    </x:row>
    <x:row r="2" ht="32" customHeight="1">
      <x:c r="A2" s="8" t="str">
        <x:v>Для значимых фактов указаны организация, дата, период данных, география, методика/выборка, прямая ссылка и уровень уверенности.</x:v>
      </x:c>
      <x:c r="B2" s="8" t="str">
        <x:v>Для значимых фактов указаны организация, дата, период данных, география, методика/выборка, прямая ссылка и уровень уверенности.</x:v>
      </x:c>
      <x:c r="C2" s="8" t="str">
        <x:v>Для значимых фактов указаны организация, дата, период данных, география, методика/выборка, прямая ссылка и уровень уверенности.</x:v>
      </x:c>
      <x:c r="D2" s="8" t="str">
        <x:v>Для значимых фактов указаны организация, дата, период данных, география, методика/выборка, прямая ссылка и уровень уверенности.</x:v>
      </x:c>
      <x:c r="E2" s="8" t="str">
        <x:v>Для значимых фактов указаны организация, дата, период данных, география, методика/выборка, прямая ссылка и уровень уверенности.</x:v>
      </x:c>
      <x:c r="F2" s="8" t="str">
        <x:v>Для значимых фактов указаны организация, дата, период данных, география, методика/выборка, прямая ссылка и уровень уверенности.</x:v>
      </x:c>
      <x:c r="G2" s="8" t="str">
        <x:v>Для значимых фактов указаны организация, дата, период данных, география, методика/выборка, прямая ссылка и уровень уверенности.</x:v>
      </x:c>
      <x:c r="H2" s="8" t="str">
        <x:v>Для значимых фактов указаны организация, дата, период данных, география, методика/выборка, прямая ссылка и уровень уверенности.</x:v>
      </x:c>
      <x:c r="I2" s="8" t="str">
        <x:v>Для значимых фактов указаны организация, дата, период данных, география, методика/выборка, прямая ссылка и уровень уверенности.</x:v>
      </x:c>
      <x:c r="J2" s="8" t="str">
        <x:v>Для значимых фактов указаны организация, дата, период данных, география, методика/выборка, прямая ссылка и уровень уверенности.</x:v>
      </x:c>
      <x:c r="K2" s="8" t="str">
        <x:v>Для значимых фактов указаны организация, дата, период данных, география, методика/выборка, прямая ссылка и уровень уверенности.</x:v>
      </x:c>
      <x:c r="L2" s="8" t="str">
        <x:v>Для значимых фактов указаны организация, дата, период данных, география, методика/выборка, прямая ссылка и уровень уверенности.</x:v>
      </x:c>
    </x:row>
    <x:row r="4" ht="30" customHeight="1">
      <x:c r="A4" s="14" t="str">
        <x:v>source_id</x:v>
      </x:c>
      <x:c r="B4" s="14" t="str">
        <x:v>title</x:v>
      </x:c>
      <x:c r="C4" s="14" t="str">
        <x:v>organization</x:v>
      </x:c>
      <x:c r="D4" s="14" t="str">
        <x:v>publication_date</x:v>
      </x:c>
      <x:c r="E4" s="14" t="str">
        <x:v>data_period</x:v>
      </x:c>
      <x:c r="F4" s="14" t="str">
        <x:v>geography</x:v>
      </x:c>
      <x:c r="G4" s="14" t="str">
        <x:v>methodology_or_sample</x:v>
      </x:c>
      <x:c r="H4" s="14" t="str">
        <x:v>url</x:v>
      </x:c>
      <x:c r="I4" s="14" t="str">
        <x:v>source_level</x:v>
      </x:c>
      <x:c r="J4" s="14" t="str">
        <x:v>confidence</x:v>
      </x:c>
      <x:c r="K4" s="14" t="str">
        <x:v>used_for</x:v>
      </x:c>
      <x:c r="L4" s="14" t="str">
        <x:v>limitations</x:v>
      </x:c>
    </x:row>
    <x:row r="5">
      <x:c r="A5" s="18" t="str">
        <x:v>SRC-AH-01</x:v>
      </x:c>
      <x:c r="B5" s="18" t="str">
        <x:v>Главная страница ArtHello</x:v>
      </x:c>
      <x:c r="C5" s="18" t="str">
        <x:v>ArtHello</x:v>
      </x:c>
      <x:c r="D5" s="18" t="str">
        <x:v>not stated</x:v>
      </x:c>
      <x:c r="E5" s="18" t="str">
        <x:v>current public offer on 2026-07-25</x:v>
      </x:c>
      <x:c r="F5" s="18" t="str">
        <x:v>Санкт-Петербург</x:v>
      </x:c>
      <x:c r="G5" s="18" t="str">
        <x:v>company self-description</x:v>
      </x:c>
      <x:c r="H5" s="18" t="str">
        <x:v>https://arthello.ru/</x:v>
      </x:c>
      <x:c r="I5" s="18" t="n">
        <x:v>2</x:v>
      </x:c>
      <x:c r="J5" s="18" t="str">
        <x:v>medium</x:v>
      </x:c>
      <x:c r="K5" s="18" t="str">
        <x:v>product portfolio addresses public claims</x:v>
      </x:c>
      <x:c r="L5" s="18" t="str">
        <x:v>Advertising claims; execution not independently verified</x:v>
      </x:c>
    </x:row>
    <x:row r="6">
      <x:c r="A6" s="18" t="str">
        <x:v>SRC-AH-02</x:v>
      </x:c>
      <x:c r="B6" s="18" t="str">
        <x:v>Детский сад Atlas</x:v>
      </x:c>
      <x:c r="C6" s="18" t="str">
        <x:v>ArtHello</x:v>
      </x:c>
      <x:c r="D6" s="18" t="str">
        <x:v>not stated</x:v>
      </x:c>
      <x:c r="E6" s="18" t="str">
        <x:v>current public offer on 2026-07-25</x:v>
      </x:c>
      <x:c r="F6" s="18" t="str">
        <x:v>Санкт-Петербург</x:v>
      </x:c>
      <x:c r="G6" s="18" t="str">
        <x:v>official tariff and product page</x:v>
      </x:c>
      <x:c r="H6" s="18" t="str">
        <x:v>https://arthello.ru/atlas/</x:v>
      </x:c>
      <x:c r="I6" s="18" t="n">
        <x:v>2</x:v>
      </x:c>
      <x:c r="J6" s="18" t="str">
        <x:v>high for offer; low for outcomes</x:v>
      </x:c>
      <x:c r="K6" s="18" t="str">
        <x:v>price format capacity claims</x:v>
      </x:c>
      <x:c r="L6" s="18" t="str">
        <x:v>76% top-10 outcome has no disclosed method</x:v>
      </x:c>
    </x:row>
    <x:row r="7">
      <x:c r="A7" s="18" t="str">
        <x:v>SRC-AH-03</x:v>
      </x:c>
      <x:c r="B7" s="18" t="str">
        <x:v>Начальная школа Atlas</x:v>
      </x:c>
      <x:c r="C7" s="18" t="str">
        <x:v>ArtHello</x:v>
      </x:c>
      <x:c r="D7" s="18" t="str">
        <x:v>not stated</x:v>
      </x:c>
      <x:c r="E7" s="18" t="str">
        <x:v>current public offer on 2026-07-25</x:v>
      </x:c>
      <x:c r="F7" s="18" t="str">
        <x:v>Санкт-Петербург</x:v>
      </x:c>
      <x:c r="G7" s="18" t="str">
        <x:v>official tariff and product page</x:v>
      </x:c>
      <x:c r="H7" s="18" t="str">
        <x:v>https://arthello.ru/school/</x:v>
      </x:c>
      <x:c r="I7" s="18" t="n">
        <x:v>2</x:v>
      </x:c>
      <x:c r="J7" s="18" t="str">
        <x:v>high for offer; low for outcomes</x:v>
      </x:c>
      <x:c r="K7" s="18" t="str">
        <x:v>price schedule class size program</x:v>
      </x:c>
      <x:c r="L7" s="18" t="str">
        <x:v>License and academic claims require document verification</x:v>
      </x:c>
    </x:row>
    <x:row r="8">
      <x:c r="A8" s="18" t="str">
        <x:v>SRC-AH-04</x:v>
      </x:c>
      <x:c r="B8" s="18" t="str">
        <x:v>Центр «Лиственный»</x:v>
      </x:c>
      <x:c r="C8" s="18" t="str">
        <x:v>ArtHello</x:v>
      </x:c>
      <x:c r="D8" s="18" t="str">
        <x:v>not stated</x:v>
      </x:c>
      <x:c r="E8" s="18" t="str">
        <x:v>current public offer on 2026-07-25</x:v>
      </x:c>
      <x:c r="F8" s="18" t="str">
        <x:v>Санкт-Петербург</x:v>
      </x:c>
      <x:c r="G8" s="18" t="str">
        <x:v>official tariff and product page</x:v>
      </x:c>
      <x:c r="H8" s="18" t="str">
        <x:v>https://arthello.ru/listvenny/</x:v>
      </x:c>
      <x:c r="I8" s="18" t="n">
        <x:v>2</x:v>
      </x:c>
      <x:c r="J8" s="18" t="str">
        <x:v>high for offer</x:v>
      </x:c>
      <x:c r="K8" s="18" t="str">
        <x:v>prices ages schedules formats</x:v>
      </x:c>
      <x:c r="L8" s="18" t="str">
        <x:v>Offer availability not independently checked</x:v>
      </x:c>
    </x:row>
    <x:row r="9">
      <x:c r="A9" s="18" t="str">
        <x:v>SRC-AH-05</x:v>
      </x:c>
      <x:c r="B9" s="18" t="str">
        <x:v>Отзывы ArtHello Atlas</x:v>
      </x:c>
      <x:c r="C9" s="18" t="str">
        <x:v>2ГИС</x:v>
      </x:c>
      <x:c r="D9" s="18" t="str">
        <x:v>not stated</x:v>
      </x:c>
      <x:c r="E9" s="18" t="str">
        <x:v>public reviews available 2020–2026</x:v>
      </x:c>
      <x:c r="F9" s="18" t="str">
        <x:v>Санкт-Петербург</x:v>
      </x:c>
      <x:c r="G9" s="18" t="str">
        <x:v>7 text reviews; 11 ratings on accessed card; self-selected</x:v>
      </x:c>
      <x:c r="H9" s="18" t="str">
        <x:v>https://2gis.ru/spb/firm/70000001036404150/tab/reviews</x:v>
      </x:c>
      <x:c r="I9" s="18" t="n">
        <x:v>6</x:v>
      </x:c>
      <x:c r="J9" s="18" t="str">
        <x:v>low</x:v>
      </x:c>
      <x:c r="K9" s="18" t="str">
        <x:v>parent and reputation signals</x:v>
      </x:c>
      <x:c r="L9" s="18" t="str">
        <x:v>Small self-selected sample; different years; allegations unverified</x:v>
      </x:c>
    </x:row>
    <x:row r="10">
      <x:c r="A10" s="18" t="str">
        <x:v>SRC-AH-06</x:v>
      </x:c>
      <x:c r="B10" s="18" t="str">
        <x:v>Отзывы ArtHello Лиственный</x:v>
      </x:c>
      <x:c r="C10" s="18" t="str">
        <x:v>2ГИС</x:v>
      </x:c>
      <x:c r="D10" s="18" t="str">
        <x:v>not stated</x:v>
      </x:c>
      <x:c r="E10" s="18" t="str">
        <x:v>public reviews available 2020–2022</x:v>
      </x:c>
      <x:c r="F10" s="18" t="str">
        <x:v>Санкт-Петербург</x:v>
      </x:c>
      <x:c r="G10" s="18" t="str">
        <x:v>13 text reviews; 16 ratings; self-selected</x:v>
      </x:c>
      <x:c r="H10" s="18" t="str">
        <x:v>https://2gis.ru/spb/firm/70000001022409589/tab/reviews</x:v>
      </x:c>
      <x:c r="I10" s="18" t="n">
        <x:v>6</x:v>
      </x:c>
      <x:c r="J10" s="18" t="str">
        <x:v>low</x:v>
      </x:c>
      <x:c r="K10" s="18" t="str">
        <x:v>parent and reputation signals</x:v>
      </x:c>
      <x:c r="L10" s="18" t="str">
        <x:v>Old positive-skewed self-selected sample</x:v>
      </x:c>
    </x:row>
    <x:row r="11">
      <x:c r="A11" s="18" t="str">
        <x:v>SRC-AH-07</x:v>
      </x:c>
      <x:c r="B11" s="18" t="str">
        <x:v>ArtHello Atlas on Yandex Maps</x:v>
      </x:c>
      <x:c r="C11" s="18" t="str">
        <x:v>Яндекс Карты</x:v>
      </x:c>
      <x:c r="D11" s="18" t="str">
        <x:v>dynamic</x:v>
      </x:c>
      <x:c r="E11" s="18" t="str">
        <x:v>accessed 2026-07-25</x:v>
      </x:c>
      <x:c r="F11" s="18" t="str">
        <x:v>Санкт-Петербург</x:v>
      </x:c>
      <x:c r="G11" s="18" t="str">
        <x:v>57 reviews; 178 ratings; platform topic aggregates</x:v>
      </x:c>
      <x:c r="H11" s="18" t="str">
        <x:v>https://yandex.ru/maps/org/artkhello/132836833098/</x:v>
      </x:c>
      <x:c r="I11" s="18" t="n">
        <x:v>6</x:v>
      </x:c>
      <x:c r="J11" s="18" t="str">
        <x:v>medium-low</x:v>
      </x:c>
      <x:c r="K11" s="18" t="str">
        <x:v>current public prices rating and topic signals</x:v>
      </x:c>
      <x:c r="L11" s="18" t="str">
        <x:v>Self-selected; platform algorithm and deduplication not disclosed</x:v>
      </x:c>
    </x:row>
    <x:row r="12">
      <x:c r="A12" s="18" t="str">
        <x:v>SRC-PAR-01</x:v>
      </x:c>
      <x:c r="B12" s="18" t="str">
        <x:v>Исследование стратегий семей в получении начального и основного общего образования</x:v>
      </x:c>
      <x:c r="C12" s="18" t="str">
        <x:v>МГПУ</x:v>
      </x:c>
      <x:c r="D12" s="18" t="n">
        <x:v>2024</x:v>
      </x:c>
      <x:c r="E12" s="18" t="str">
        <x:v>study current at publication</x:v>
      </x:c>
      <x:c r="F12" s="18" t="str">
        <x:v>Москва</x:v>
      </x:c>
      <x:c r="G12" s="18" t="str">
        <x:v>10,081 parents; target cluster online survey plus cognitive interviews</x:v>
      </x:c>
      <x:c r="H12" s="18" t="str">
        <x:v>https://www.mgpu.ru/wp-content/uploads/2024/10/issledovaniya-strategii-semej-v-poluchenii-nachalnogo-i-osnovnogo-obshhego-obrazovaniya.pdf</x:v>
      </x:c>
      <x:c r="I12" s="18" t="n">
        <x:v>3</x:v>
      </x:c>
      <x:c r="J12" s="18" t="str">
        <x:v>high for sample; medium transferability</x:v>
      </x:c>
      <x:c r="K12" s="18" t="str">
        <x:v>parent choice information channels retention</x:v>
      </x:c>
      <x:c r="L12" s="18" t="str">
        <x:v>Moscow-specific; target/cluster rather than simple representative sample</x:v>
      </x:c>
    </x:row>
    <x:row r="13">
      <x:c r="A13" s="18" t="str">
        <x:v>SRC-PAR-02</x:v>
      </x:c>
      <x:c r="B13" s="18" t="str">
        <x:v>Частные школы: распространённость и отношение россиян</x:v>
      </x:c>
      <x:c r="C13" s="18" t="str">
        <x:v>ФОМ</x:v>
      </x:c>
      <x:c r="D13" s="18" t="str">
        <x:v>2024-09-24</x:v>
      </x:c>
      <x:c r="E13" s="18" t="n">
        <x:v>2024</x:v>
      </x:c>
      <x:c r="F13" s="18" t="str">
        <x:v>Россия</x:v>
      </x:c>
      <x:c r="G13" s="18" t="str">
        <x:v>1,500 adults; 104 localities; 53 regions; face-to-face; error ≤3.6%</x:v>
      </x:c>
      <x:c r="H13" s="18" t="str">
        <x:v>https://fom.ru/Nauka-i-obrazovanie/15073</x:v>
      </x:c>
      <x:c r="I13" s="18" t="n">
        <x:v>3</x:v>
      </x:c>
      <x:c r="J13" s="18" t="str">
        <x:v>high</x:v>
      </x:c>
      <x:c r="K13" s="18" t="str">
        <x:v>category trust and state alternative</x:v>
      </x:c>
      <x:c r="L13" s="18" t="str">
        <x:v>General adults not only target parents</x:v>
      </x:c>
    </x:row>
    <x:row r="14">
      <x:c r="A14" s="18" t="str">
        <x:v>SRC-PAR-03</x:v>
      </x:c>
      <x:c r="B14" s="18" t="str">
        <x:v>РАНХиГС: 96% родителей частных школ довольны</x:v>
      </x:c>
      <x:c r="C14" s="18" t="str">
        <x:v>РАНХиГС / ТАСС</x:v>
      </x:c>
      <x:c r="D14" s="18" t="str">
        <x:v>2025-08-06</x:v>
      </x:c>
      <x:c r="E14" s="18" t="str">
        <x:v>2024–2025</x:v>
      </x:c>
      <x:c r="F14" s="18" t="str">
        <x:v>Ивановская область Краснодарский и Ставропольский края</x:v>
      </x:c>
      <x:c r="G14" s="18" t="str">
        <x:v>1,202 parents of private-school students; regional and non-capital cities</x:v>
      </x:c>
      <x:c r="H14" s="18" t="str">
        <x:v>https://tass.ru/obschestvo/24715839</x:v>
      </x:c>
      <x:c r="I14" s="18" t="n">
        <x:v>5</x:v>
      </x:c>
      <x:c r="J14" s="18" t="str">
        <x:v>medium</x:v>
      </x:c>
      <x:c r="K14" s="18" t="str">
        <x:v>parent expectations and alternatives</x:v>
      </x:c>
      <x:c r="L14" s="18" t="str">
        <x:v>Secondary publication; survivor and self-selection bias; no capitals</x:v>
      </x:c>
    </x:row>
    <x:row r="15">
      <x:c r="A15" s="18" t="str">
        <x:v>SRC-PAR-04</x:v>
      </x:c>
      <x:c r="B15" s="18" t="str">
        <x:v>Территория счастливого (?) детства</x:v>
      </x:c>
      <x:c r="C15" s="18" t="str">
        <x:v>ВЦИОМ</x:v>
      </x:c>
      <x:c r="D15" s="18" t="str">
        <x:v>2026-03-03</x:v>
      </x:c>
      <x:c r="E15" s="18" t="str">
        <x:v>not stated</x:v>
      </x:c>
      <x:c r="F15" s="18" t="str">
        <x:v>Россия</x:v>
      </x:c>
      <x:c r="G15" s="18" t="str">
        <x:v>Parents and educators; sample size not visible on accessed page</x:v>
      </x:c>
      <x:c r="H15" s="18" t="str">
        <x:v>https://wciom.ru/analytical-reviews/analiticheskii-obzor/territorija-schastlivogo-detstva-o-doshkolnom-obrazovanii-v-segodnjashnei-rossii</x:v>
      </x:c>
      <x:c r="I15" s="18" t="n">
        <x:v>3</x:v>
      </x:c>
      <x:c r="J15" s="18" t="str">
        <x:v>medium-low</x:v>
      </x:c>
      <x:c r="K15" s="18" t="str">
        <x:v>demand for educators care and equipment</x:v>
      </x:c>
      <x:c r="L15" s="18" t="str">
        <x:v>Critical methodology missing on accessible page</x:v>
      </x:c>
    </x:row>
    <x:row r="16">
      <x:c r="A16" s="18" t="str">
        <x:v>SRC-MKT-01</x:v>
      </x:c>
      <x:c r="B16" s="18" t="str">
        <x:v>Расходы населения на образование детей и молодежи</x:v>
      </x:c>
      <x:c r="C16" s="18" t="str">
        <x:v>ИСИЭЗ НИУ ВШЭ</x:v>
      </x:c>
      <x:c r="D16" s="18" t="str">
        <x:v>2023-08-24</x:v>
      </x:c>
      <x:c r="E16" s="18" t="str">
        <x:v>2021/22 учебный год</x:v>
      </x:c>
      <x:c r="F16" s="18" t="str">
        <x:v>Россия</x:v>
      </x:c>
      <x:c r="G16" s="18" t="str">
        <x:v>Official statistics plus nationwide HSE household survey in Jun–Jul 2022</x:v>
      </x:c>
      <x:c r="H16" s="18" t="str">
        <x:v>https://issek.hse.ru/news/854742569.html</x:v>
      </x:c>
      <x:c r="I16" s="18" t="n">
        <x:v>3</x:v>
      </x:c>
      <x:c r="J16" s="18" t="str">
        <x:v>high</x:v>
      </x:c>
      <x:c r="K16" s="18" t="str">
        <x:v>historical family spending tutoring and resilience</x:v>
      </x:c>
      <x:c r="L16" s="18" t="str">
        <x:v>Nominal 2021/22 values require inflation adjustment for 2026</x:v>
      </x:c>
    </x:row>
    <x:row r="17">
      <x:c r="A17" s="18" t="str">
        <x:v>SRC-HR-01</x:v>
      </x:c>
      <x:c r="B17" s="18" t="str">
        <x:v>Вакансии воспитателя частного детского сада в Санкт-Петербурге</x:v>
      </x:c>
      <x:c r="C17" s="18" t="str">
        <x:v>HeadHunter</x:v>
      </x:c>
      <x:c r="D17" s="18" t="str">
        <x:v>dynamic</x:v>
      </x:c>
      <x:c r="E17" s="18" t="str">
        <x:v>accessed 2026-07-25</x:v>
      </x:c>
      <x:c r="F17" s="18" t="str">
        <x:v>Санкт-Петербург</x:v>
      </x:c>
      <x:c r="G17" s="18" t="str">
        <x:v>Public vacancy listings; 22 current results on accessed page</x:v>
      </x:c>
      <x:c r="H17" s="18" t="str">
        <x:v>https://spb.hh.ru/vacancies/vospitatel_chastnogo_detskogo_sada</x:v>
      </x:c>
      <x:c r="I17" s="18" t="n">
        <x:v>6</x:v>
      </x:c>
      <x:c r="J17" s="18" t="str">
        <x:v>medium</x:v>
      </x:c>
      <x:c r="K17" s="18" t="str">
        <x:v>staff salary benchmarks</x:v>
      </x:c>
      <x:c r="L17" s="18" t="str">
        <x:v>Advertised not accepted salaries; mixed gross/net; dynamic sample</x:v>
      </x:c>
    </x:row>
    <x:row r="18">
      <x:c r="A18" s="18" t="str">
        <x:v>SRC-LEGAL-01</x:v>
      </x:c>
      <x:c r="B18" s="18" t="str">
        <x:v>ООО «УК «Детское образование»</x:v>
      </x:c>
      <x:c r="C18" s="18" t="str">
        <x:v>РБК Компании / ЕГРЮЛ and accounting data</x:v>
      </x:c>
      <x:c r="D18" s="18" t="str">
        <x:v>updated 2026-07-10</x:v>
      </x:c>
      <x:c r="E18" s="18" t="str">
        <x:v>2025 financial statements</x:v>
      </x:c>
      <x:c r="F18" s="18" t="str">
        <x:v>Санкт-Петербург</x:v>
      </x:c>
      <x:c r="G18" s="18" t="str">
        <x:v>Public registry and financial-statement aggregation</x:v>
      </x:c>
      <x:c r="H18" s="18" t="str">
        <x:v>https://companies.rbc.ru/id/1227800135067-ooo-uk-detskoe-obrazovanie/</x:v>
      </x:c>
      <x:c r="I18" s="18" t="n">
        <x:v>2</x:v>
      </x:c>
      <x:c r="J18" s="18" t="str">
        <x:v>medium</x:v>
      </x:c>
      <x:c r="K18" s="18" t="str">
        <x:v>legal entity revenue profit trademark and registry status</x:v>
      </x:c>
      <x:c r="L18" s="18" t="str">
        <x:v>One known management company; not consolidated ArtHello group</x:v>
      </x:c>
    </x:row>
    <x:row r="19">
      <x:c r="A19" s="18" t="str">
        <x:v>SRC-INT-01</x:v>
      </x:c>
      <x:c r="B19" s="18" t="str">
        <x:v>Списки групп</x:v>
      </x:c>
      <x:c r="C19" s="18" t="str">
        <x:v>ArtHello internal</x:v>
      </x:c>
      <x:c r="D19" s="18" t="str">
        <x:v>updated 2026-05-26</x:v>
      </x:c>
      <x:c r="E19" s="18" t="str">
        <x:v>working contract list</x:v>
      </x:c>
      <x:c r="F19" s="18" t="str">
        <x:v>ArtHello</x:v>
      </x:c>
      <x:c r="G19" s="18" t="str">
        <x:v>Google Sheet operational/planning summary; not reconciled with CRM/bank</x:v>
      </x:c>
      <x:c r="H19" s="18" t="str">
        <x:v>https://docs.google.com/spreadsheets/d/1XMz-hwUDDsMMmF6_JZ4uvbs5bNjUr8bPkXpx--vbcoo</x:v>
      </x:c>
      <x:c r="I19" s="18" t="n">
        <x:v>2</x:v>
      </x:c>
      <x:c r="J19" s="18" t="str">
        <x:v>low</x:v>
      </x:c>
      <x:c r="K19" s="18" t="str">
        <x:v>preliminary contracts and monthly contracted revenue</x:v>
      </x:c>
      <x:c r="L19" s="18" t="str">
        <x:v>Contains operational rows and data-quality errors; only aggregates used; no personal data exported</x:v>
      </x:c>
    </x:row>
    <x:row r="20">
      <x:c r="A20" s="18" t="str">
        <x:v>SRC-INT-02</x:v>
      </x:c>
      <x:c r="B20" s="18" t="str">
        <x:v>25-26 Атлас // Зарплатная ведомость</x:v>
      </x:c>
      <x:c r="C20" s="18" t="str">
        <x:v>ArtHello internal</x:v>
      </x:c>
      <x:c r="D20" s="18" t="str">
        <x:v>updated 2026-07-24</x:v>
      </x:c>
      <x:c r="E20" s="18" t="str">
        <x:v>Sep 2025–Jun 2026</x:v>
      </x:c>
      <x:c r="F20" s="18" t="str">
        <x:v>Atlas</x:v>
      </x:c>
      <x:c r="G20" s="18" t="str">
        <x:v>Google Sheet payroll workbook; aggregate tab read</x:v>
      </x:c>
      <x:c r="H20" s="18" t="str">
        <x:v>https://docs.google.com/spreadsheets/d/1ZLS_s0idpFj_NXV9N8ub8qlNsvpk2wxS1YK9IvTH5V0</x:v>
      </x:c>
      <x:c r="I20" s="18" t="n">
        <x:v>2</x:v>
      </x:c>
      <x:c r="J20" s="18" t="str">
        <x:v>medium-low</x:v>
      </x:c>
      <x:c r="K20" s="18" t="str">
        <x:v>preliminary payroll range</x:v>
      </x:c>
      <x:c r="L20" s="18" t="str">
        <x:v>Period completeness and tax treatment require validation</x:v>
      </x:c>
    </x:row>
    <x:row r="21">
      <x:c r="A21" s="18" t="str">
        <x:v>SRC-INT-03</x:v>
      </x:c>
      <x:c r="B21" s="18" t="str">
        <x:v>Art Hello / Продвижение</x:v>
      </x:c>
      <x:c r="C21" s="18" t="str">
        <x:v>ArtHello internal</x:v>
      </x:c>
      <x:c r="D21" s="18" t="str">
        <x:v>updated 2026-05-20</x:v>
      </x:c>
      <x:c r="E21" s="18" t="str">
        <x:v>2026-03-23–2026-05-17</x:v>
      </x:c>
      <x:c r="F21" s="18" t="str">
        <x:v>ArtHello</x:v>
      </x:c>
      <x:c r="G21" s="18" t="str">
        <x:v>Google Sheet marketing dashboard</x:v>
      </x:c>
      <x:c r="H21" s="18" t="str">
        <x:v>https://docs.google.com/spreadsheets/d/1iQgLEF-xTpV0WTQ8lQIKyKhdPF4yJBnQ3-oW8Dk-fzo</x:v>
      </x:c>
      <x:c r="I21" s="18" t="n">
        <x:v>2</x:v>
      </x:c>
      <x:c r="J21" s="18" t="str">
        <x:v>medium for lead metrics; low for CAC</x:v>
      </x:c>
      <x:c r="K21" s="18" t="str">
        <x:v>spend clicks leads CPL</x:v>
      </x:c>
      <x:c r="L21" s="18" t="str">
        <x:v>No link to contracts or payments; some historical #REF</x:v>
      </x:c>
    </x:row>
    <x:row r="22">
      <x:c r="A22" s="18" t="str">
        <x:v>SRC-INT-04</x:v>
      </x:c>
      <x:c r="B22" s="18" t="str">
        <x:v>Фин Модель ШКОЛА 1-11</x:v>
      </x:c>
      <x:c r="C22" s="18" t="str">
        <x:v>ArtHello internal</x:v>
      </x:c>
      <x:c r="D22" s="18" t="str">
        <x:v>updated 2026-07-09</x:v>
      </x:c>
      <x:c r="E22" s="18" t="str">
        <x:v>planning case 2026/27</x:v>
      </x:c>
      <x:c r="F22" s="18" t="str">
        <x:v>Кузьмоловский</x:v>
      </x:c>
      <x:c r="G22" s="18" t="str">
        <x:v>Google Sheet planning model</x:v>
      </x:c>
      <x:c r="H22" s="18" t="str">
        <x:v>https://docs.google.com/spreadsheets/d/1b3iHKiicVaD75xYm6QIeB2mJ7G7fNuv8qKyTIB6DCwA</x:v>
      </x:c>
      <x:c r="I22" s="18" t="n">
        <x:v>2</x:v>
      </x:c>
      <x:c r="J22" s="18" t="str">
        <x:v>low</x:v>
      </x:c>
      <x:c r="K22" s="18" t="str">
        <x:v>school 1-11 assumptions</x:v>
      </x:c>
      <x:c r="L22" s="18" t="str">
        <x:v>Key payroll tax and profit formulas contain #REF; not actual economics</x:v>
      </x:c>
    </x:row>
    <x:row r="23">
      <x:c r="A23" s="18" t="str">
        <x:v>SRC-INT-05</x:v>
      </x:c>
      <x:c r="B23" s="18" t="str">
        <x:v>ОПиУ 2023 АРТХЕЛЛО</x:v>
      </x:c>
      <x:c r="C23" s="18" t="str">
        <x:v>ArtHello internal</x:v>
      </x:c>
      <x:c r="D23" s="18" t="str">
        <x:v>updated 2024-02-07</x:v>
      </x:c>
      <x:c r="E23" s="18" t="str">
        <x:v>partial September 2023 entries</x:v>
      </x:c>
      <x:c r="F23" s="18" t="str">
        <x:v>ArtHello historical sites</x:v>
      </x:c>
      <x:c r="G23" s="18" t="str">
        <x:v>Google Sheet historical P&amp;L workbook</x:v>
      </x:c>
      <x:c r="H23" s="18" t="str">
        <x:v>https://docs.google.com/spreadsheets/d/1yjfXCT0m8XRUAkAP9T9uMOzCrjpJ3AxDJb5eZGj8DE0</x:v>
      </x:c>
      <x:c r="I23" s="18" t="n">
        <x:v>2</x:v>
      </x:c>
      <x:c r="J23" s="18" t="str">
        <x:v>low</x:v>
      </x:c>
      <x:c r="K23" s="18" t="str">
        <x:v>historical expense map and data-quality evidence</x:v>
      </x:c>
      <x:c r="L23" s="18" t="str">
        <x:v>Revenue broken/zero or #REF; not usable as profitability record</x:v>
      </x:c>
    </x:row>
    <x:row r="24">
      <x:c r="A24" s="18" t="str">
        <x:v>S1</x:v>
      </x:c>
      <x:c r="B24" s="18" t="str">
        <x:v>Indicators of Education 2026</x:v>
      </x:c>
      <x:c r="C24" s="18" t="str">
        <x:v>HSE ISSEK with Rosstat Minprosveshcheniya Minobrnauki</x:v>
      </x:c>
      <x:c r="D24" s="18" t="str">
        <x:v>2026-02-04</x:v>
      </x:c>
      <x:c r="E24" s="18" t="str">
        <x:v>mostly 2019–2024 and 2024/25</x:v>
      </x:c>
      <x:c r="F24" s="18" t="str">
        <x:v>Russia</x:v>
      </x:c>
      <x:c r="G24" s="18" t="str">
        <x:v>federal statistical forms 85-K OO-1 1-DOD and financial reporting</x:v>
      </x:c>
      <x:c r="H24" s="18" t="str">
        <x:v>https://issek.hse.ru/mirror/pubs/share/1134488920.pdf</x:v>
      </x:c>
      <x:c r="I24" s="18" t="n">
        <x:v>1</x:v>
      </x:c>
      <x:c r="J24" s="18" t="str">
        <x:v>high</x:v>
      </x:c>
      <x:c r="K24" s="18" t="str">
        <x:v>organizations, enrollment, financing, programme registrations</x:v>
      </x:c>
      <x:c r="L24" s="18" t="str">
        <x:v>private preschool organization count and commercial centre economics not separated</x:v>
      </x:c>
    </x:row>
    <x:row r="25">
      <x:c r="A25" s="18" t="str">
        <x:v>S2</x:v>
      </x:c>
      <x:c r="B25" s="18" t="str">
        <x:v>Household Education Budgets</x:v>
      </x:c>
      <x:c r="C25" s="18" t="str">
        <x:v>HSE ISSEK N.B. Shugal N.V. Bondarenko</x:v>
      </x:c>
      <x:c r="D25" s="18" t="str">
        <x:v>2023-08-23</x:v>
      </x:c>
      <x:c r="E25" s="18" t="str">
        <x:v>2021/22</x:v>
      </x:c>
      <x:c r="F25" s="18" t="str">
        <x:v>Russia</x:v>
      </x:c>
      <x:c r="G25" s="18" t="str">
        <x:v>offline stratified survey n=9000; four equal subsamples grossed to official populations</x:v>
      </x:c>
      <x:c r="H25" s="18" t="str">
        <x:v>https://www.hse.ru/data/2023/08/23/2070282527/ib_10%2852%29_2023.pdf</x:v>
      </x:c>
      <x:c r="I25" s="18" t="n">
        <x:v>3</x:v>
      </x:c>
      <x:c r="J25" s="18" t="str">
        <x:v>medium-high</x:v>
      </x:c>
      <x:c r="K25" s="18" t="str">
        <x:v>broad family spending on additional education</x:v>
      </x:c>
      <x:c r="L25" s="18" t="str">
        <x:v>historical nominal values; includes multiple provider types</x:v>
      </x:c>
    </x:row>
    <x:row r="26">
      <x:c r="A26" s="18" t="str">
        <x:v>S3</x:v>
      </x:c>
      <x:c r="B26" s="18" t="str">
        <x:v>Paid Services by Type 2025</x:v>
      </x:c>
      <x:c r="C26" s="18" t="str">
        <x:v>Rosstat</x:v>
      </x:c>
      <x:c r="D26" s="18" t="str">
        <x:v>2026-07-01 update</x:v>
      </x:c>
      <x:c r="E26" s="18" t="str">
        <x:v>2020–2025</x:v>
      </x:c>
      <x:c r="F26" s="18" t="str">
        <x:v>Russia</x:v>
      </x:c>
      <x:c r="G26" s="18" t="str">
        <x:v>federal paid-services observation including estimate of hidden activity</x:v>
      </x:c>
      <x:c r="H26" s="18" t="str">
        <x:v>https://rosstat.gov.ru/storage/2025/03-06/Tw9R0K2C/Doklad_12-2025/2-2-3_12-2025.doc</x:v>
      </x:c>
      <x:c r="I26" s="18" t="n">
        <x:v>1</x:v>
      </x:c>
      <x:c r="J26" s="18" t="str">
        <x:v>high</x:v>
      </x:c>
      <x:c r="K26" s="18" t="str">
        <x:v>nominal and physical-volume growth of paid education</x:v>
      </x:c>
      <x:c r="L26" s="18" t="str">
        <x:v>all education levels combined</x:v>
      </x:c>
    </x:row>
    <x:row r="27">
      <x:c r="A27" s="18" t="str">
        <x:v>S4</x:v>
      </x:c>
      <x:c r="B27" s="18" t="str">
        <x:v>Demographic Yearbook</x:v>
      </x:c>
      <x:c r="C27" s="18" t="str">
        <x:v>Rosstat</x:v>
      </x:c>
      <x:c r="D27" s="18" t="str">
        <x:v>2023–2025</x:v>
      </x:c>
      <x:c r="E27" s="18" t="str">
        <x:v>2019–2023</x:v>
      </x:c>
      <x:c r="F27" s="18" t="str">
        <x:v>Russia</x:v>
      </x:c>
      <x:c r="G27" s="18" t="str">
        <x:v>vital registration administrative data</x:v>
      </x:c>
      <x:c r="H27" s="18" t="str">
        <x:v>https://rosstat.gov.ru/storage/mediabank/Demogr_ejegod_2023.pdf</x:v>
      </x:c>
      <x:c r="I27" s="18" t="n">
        <x:v>1</x:v>
      </x:c>
      <x:c r="J27" s="18" t="str">
        <x:v>high</x:v>
      </x:c>
      <x:c r="K27" s="18" t="str">
        <x:v>births</x:v>
      </x:c>
      <x:c r="L27" s="18" t="str">
        <x:v>2024 in separate release</x:v>
      </x:c>
    </x:row>
    <x:row r="28">
      <x:c r="A28" s="18" t="str">
        <x:v>S4b</x:v>
      </x:c>
      <x:c r="B28" s="18" t="str">
        <x:v>Registered Births 2024</x:v>
      </x:c>
      <x:c r="C28" s="18" t="str">
        <x:v>Rosstat</x:v>
      </x:c>
      <x:c r="D28" s="18" t="n">
        <x:v>2025</x:v>
      </x:c>
      <x:c r="E28" s="18" t="n">
        <x:v>2024</x:v>
      </x:c>
      <x:c r="F28" s="18" t="str">
        <x:v>Russia</x:v>
      </x:c>
      <x:c r="G28" s="18" t="str">
        <x:v>vital_registration</x:v>
      </x:c>
      <x:c r="H28" s="18" t="str">
        <x:v>https://rosstat.gov.ru/storage/mediabank/Edn_12-2024_t1_2.xlsx</x:v>
      </x:c>
      <x:c r="I28" s="18" t="n">
        <x:v>1</x:v>
      </x:c>
      <x:c r="J28" s="18" t="str">
        <x:v>high</x:v>
      </x:c>
      <x:c r="K28" s="18" t="str">
        <x:v>births</x:v>
      </x:c>
      <x:c r="L28" s="18" t="str">
        <x:v>single-year file</x:v>
      </x:c>
    </x:row>
    <x:row r="29">
      <x:c r="A29" s="18" t="str">
        <x:v>S5</x:v>
      </x:c>
      <x:c r="B29" s="18" t="str">
        <x:v>Demographic Forecast to 2046</x:v>
      </x:c>
      <x:c r="C29" s="18" t="str">
        <x:v>Rosstat</x:v>
      </x:c>
      <x:c r="D29" s="18" t="str">
        <x:v>2023-10-10</x:v>
      </x:c>
      <x:c r="E29" s="18" t="str">
        <x:v>2024–2046</x:v>
      </x:c>
      <x:c r="F29" s="18" t="str">
        <x:v>Russia excluding four new regions</x:v>
      </x:c>
      <x:c r="G29" s="18" t="str">
        <x:v>cohort-component low medium high variants</x:v>
      </x:c>
      <x:c r="H29" s="18" t="str">
        <x:v>https://rosstat.gov.ru/folder/313/document/220709</x:v>
      </x:c>
      <x:c r="I29" s="18" t="n">
        <x:v>1</x:v>
      </x:c>
      <x:c r="J29" s="18" t="str">
        <x:v>high methodology; medium exact outcome</x:v>
      </x:c>
      <x:c r="K29" s="18" t="str">
        <x:v>children 0–15 scenarios</x:v>
      </x:c>
      <x:c r="L29" s="18" t="str">
        <x:v>actual births can depart from forecast</x:v>
      </x:c>
    </x:row>
    <x:row r="30">
      <x:c r="A30" s="18" t="str">
        <x:v>S6</x:v>
      </x:c>
      <x:c r="B30" s="18" t="str">
        <x:v>Real Disposable Income 2025</x:v>
      </x:c>
      <x:c r="C30" s="18" t="str">
        <x:v>Rosstat</x:v>
      </x:c>
      <x:c r="D30" s="18" t="n">
        <x:v>2026</x:v>
      </x:c>
      <x:c r="E30" s="18" t="str">
        <x:v>2024–2025</x:v>
      </x:c>
      <x:c r="F30" s="18" t="str">
        <x:v>Russia</x:v>
      </x:c>
      <x:c r="G30" s="18" t="str">
        <x:v>national accounts household income methodology</x:v>
      </x:c>
      <x:c r="H30" s="18" t="str">
        <x:v>https://rosstat.gov.ru/storage/2025/03-06/Tw9R0K2C/Doklad_12-2025/3-1-1_12-2025.doc</x:v>
      </x:c>
      <x:c r="I30" s="18" t="n">
        <x:v>1</x:v>
      </x:c>
      <x:c r="J30" s="18" t="str">
        <x:v>high</x:v>
      </x:c>
      <x:c r="K30" s="18" t="str">
        <x:v>income_context</x:v>
      </x:c>
      <x:c r="L30" s="18" t="str">
        <x:v>national mean is not ArtHello target income</x:v>
      </x:c>
    </x:row>
    <x:row r="31">
      <x:c r="A31" s="18" t="str">
        <x:v>S7</x:v>
      </x:c>
      <x:c r="B31" s="18" t="str">
        <x:v>Key Rate Decision</x:v>
      </x:c>
      <x:c r="C31" s="18" t="str">
        <x:v>Bank of Russia</x:v>
      </x:c>
      <x:c r="D31" s="18" t="str">
        <x:v>2026-07-24</x:v>
      </x:c>
      <x:c r="E31" s="18" t="str">
        <x:v>current and 2026 forecast</x:v>
      </x:c>
      <x:c r="F31" s="18" t="str">
        <x:v>Russia</x:v>
      </x:c>
      <x:c r="G31" s="18" t="str">
        <x:v>central-bank administrative and forecast data</x:v>
      </x:c>
      <x:c r="H31" s="18" t="str">
        <x:v>https://www.cbr.ru/press/pr/?file=24072026_133000key.htm</x:v>
      </x:c>
      <x:c r="I31" s="18" t="n">
        <x:v>1</x:v>
      </x:c>
      <x:c r="J31" s="18" t="str">
        <x:v>high</x:v>
      </x:c>
      <x:c r="K31" s="18" t="str">
        <x:v>cost of capital and inflation context</x:v>
      </x:c>
      <x:c r="L31" s="18" t="str">
        <x:v>rate changes after cut-off</x:v>
      </x:c>
    </x:row>
    <x:row r="32">
      <x:c r="A32" s="18" t="str">
        <x:v>S8</x:v>
      </x:c>
      <x:c r="B32" s="18" t="str">
        <x:v>Federal Law 273-FZ Article 91</x:v>
      </x:c>
      <x:c r="C32" s="18" t="str">
        <x:v>Russian Federation</x:v>
      </x:c>
      <x:c r="D32" s="18" t="str">
        <x:v>current_2026</x:v>
      </x:c>
      <x:c r="E32" s="18" t="str">
        <x:v>current</x:v>
      </x:c>
      <x:c r="F32" s="18" t="str">
        <x:v>Russia</x:v>
      </x:c>
      <x:c r="G32" s="18" t="str">
        <x:v>law</x:v>
      </x:c>
      <x:c r="H32" s="18" t="str">
        <x:v>https://www.consultant.ru/document/cons_doc_LAW_140174/dda3cee5868d1739eb34ccd9e8a98085fa2c76e2/</x:v>
      </x:c>
      <x:c r="I32" s="18" t="n">
        <x:v>1</x:v>
      </x:c>
      <x:c r="J32" s="18" t="str">
        <x:v>high</x:v>
      </x:c>
      <x:c r="K32" s="18" t="str">
        <x:v>licensing</x:v>
      </x:c>
      <x:c r="L32" s="18" t="str">
        <x:v>legal interpretation requires counsel</x:v>
      </x:c>
    </x:row>
    <x:row r="33">
      <x:c r="A33" s="18" t="str">
        <x:v>S9</x:v>
      </x:c>
      <x:c r="B33" s="18" t="str">
        <x:v>Education Licensing Regulation 1490 and amendment 52</x:v>
      </x:c>
      <x:c r="C33" s="18" t="str">
        <x:v>Government of Russia</x:v>
      </x:c>
      <x:c r="D33" s="18" t="str">
        <x:v>2020; 2026-01-27</x:v>
      </x:c>
      <x:c r="E33" s="18" t="str">
        <x:v>current through 2032</x:v>
      </x:c>
      <x:c r="F33" s="18" t="str">
        <x:v>Russia</x:v>
      </x:c>
      <x:c r="G33" s="18" t="str">
        <x:v>regulation</x:v>
      </x:c>
      <x:c r="H33" s="18" t="str">
        <x:v>https://government.ru/docs/all/130013/</x:v>
      </x:c>
      <x:c r="I33" s="18" t="n">
        <x:v>1</x:v>
      </x:c>
      <x:c r="J33" s="18" t="str">
        <x:v>high</x:v>
      </x:c>
      <x:c r="K33" s="18" t="str">
        <x:v>licensing</x:v>
      </x:c>
      <x:c r="L33" s="18" t="str">
        <x:v>site and programme facts determine application</x:v>
      </x:c>
    </x:row>
    <x:row r="34">
      <x:c r="A34" s="18" t="str">
        <x:v>S10</x:v>
      </x:c>
      <x:c r="B34" s="18" t="str">
        <x:v>New Sanitary Rules SP 2.4.2.4283-26</x:v>
      </x:c>
      <x:c r="C34" s="18" t="str">
        <x:v>Rospotrebnadzor</x:v>
      </x:c>
      <x:c r="D34" s="18" t="str">
        <x:v>2026-06-25</x:v>
      </x:c>
      <x:c r="E34" s="18" t="str">
        <x:v>effective 2026-09-01</x:v>
      </x:c>
      <x:c r="F34" s="18" t="str">
        <x:v>Russia</x:v>
      </x:c>
      <x:c r="G34" s="18" t="str">
        <x:v>regulatory_summary</x:v>
      </x:c>
      <x:c r="H34" s="18" t="str">
        <x:v>https://26.rospotrebnadzor.ru/press-center/pr/14072/</x:v>
      </x:c>
      <x:c r="I34" s="18" t="n">
        <x:v>1</x:v>
      </x:c>
      <x:c r="J34" s="18" t="str">
        <x:v>high</x:v>
      </x:c>
      <x:c r="K34" s="18" t="str">
        <x:v>sanitary_transition</x:v>
      </x:c>
      <x:c r="L34" s="18" t="str">
        <x:v>requires full-text/site audit</x:v>
      </x:c>
    </x:row>
    <x:row r="35">
      <x:c r="A35" s="18" t="str">
        <x:v>S11</x:v>
      </x:c>
      <x:c r="B35" s="18" t="str">
        <x:v>Distance Education Regulation 1678</x:v>
      </x:c>
      <x:c r="C35" s="18" t="str">
        <x:v>Government of Russia</x:v>
      </x:c>
      <x:c r="D35" s="18" t="str">
        <x:v>2023-10-12; amended 2026-05-06</x:v>
      </x:c>
      <x:c r="E35" s="18" t="str">
        <x:v>2024–2029</x:v>
      </x:c>
      <x:c r="F35" s="18" t="str">
        <x:v>Russia</x:v>
      </x:c>
      <x:c r="G35" s="18" t="str">
        <x:v>regulation</x:v>
      </x:c>
      <x:c r="H35" s="18" t="str">
        <x:v>https://publication.pravo.gov.ru/document/0001202310120031</x:v>
      </x:c>
      <x:c r="I35" s="18" t="n">
        <x:v>1</x:v>
      </x:c>
      <x:c r="J35" s="18" t="str">
        <x:v>high</x:v>
      </x:c>
      <x:c r="K35" s="18" t="str">
        <x:v>online_hybrid</x:v>
      </x:c>
      <x:c r="L35" s="18" t="str">
        <x:v>legal interpretation requires counsel</x:v>
      </x:c>
    </x:row>
    <x:row r="36">
      <x:c r="A36" s="18" t="str">
        <x:v>S12</x:v>
      </x:c>
      <x:c r="B36" s="18" t="str">
        <x:v>Personal Data Consent Article 9</x:v>
      </x:c>
      <x:c r="C36" s="18" t="str">
        <x:v>Russian Federation</x:v>
      </x:c>
      <x:c r="D36" s="18" t="str">
        <x:v>current_2026</x:v>
      </x:c>
      <x:c r="E36" s="18" t="str">
        <x:v>current</x:v>
      </x:c>
      <x:c r="F36" s="18" t="str">
        <x:v>Russia</x:v>
      </x:c>
      <x:c r="G36" s="18" t="str">
        <x:v>law</x:v>
      </x:c>
      <x:c r="H36" s="18" t="str">
        <x:v>https://www.consultant.ru/document/cons_doc_LAW_61801/6c94959bc017ac80140621762d2ac59f6006b08c/</x:v>
      </x:c>
      <x:c r="I36" s="18" t="n">
        <x:v>1</x:v>
      </x:c>
      <x:c r="J36" s="18" t="str">
        <x:v>high</x:v>
      </x:c>
      <x:c r="K36" s="18" t="str">
        <x:v>personal_data</x:v>
      </x:c>
      <x:c r="L36" s="18" t="str">
        <x:v>photo, health and camera processes need separate mapping</x:v>
      </x:c>
    </x:row>
    <x:row r="37">
      <x:c r="A37" s="18" t="str">
        <x:v>S13</x:v>
      </x:c>
      <x:c r="B37" s="18" t="str">
        <x:v>USN VAT Threshold 20m through 2029</x:v>
      </x:c>
      <x:c r="C37" s="18" t="str">
        <x:v>Federal Tax Service</x:v>
      </x:c>
      <x:c r="D37" s="18" t="str">
        <x:v>2026-07-07</x:v>
      </x:c>
      <x:c r="E37" s="18" t="str">
        <x:v>2026–2029</x:v>
      </x:c>
      <x:c r="F37" s="18" t="str">
        <x:v>Russia</x:v>
      </x:c>
      <x:c r="G37" s="18" t="str">
        <x:v>official tax explanation of 228-FZ</x:v>
      </x:c>
      <x:c r="H37" s="18" t="str">
        <x:v>https://www.nalog.gov.ru/rn64/news/activities_fts/16635804/</x:v>
      </x:c>
      <x:c r="I37" s="18" t="n">
        <x:v>1</x:v>
      </x:c>
      <x:c r="J37" s="18" t="str">
        <x:v>high</x:v>
      </x:c>
      <x:c r="K37" s="18" t="str">
        <x:v>tax_risk</x:v>
      </x:c>
      <x:c r="L37" s="18" t="str">
        <x:v>benefits depend on entity/service facts</x:v>
      </x:c>
    </x:row>
    <x:row r="38">
      <x:c r="A38" s="18" t="str">
        <x:v>S14</x:v>
      </x:c>
      <x:c r="B38" s="18" t="str">
        <x:v>Fire Safety Rules 1479</x:v>
      </x:c>
      <x:c r="C38" s="18" t="str">
        <x:v>Government of Russia</x:v>
      </x:c>
      <x:c r="D38" s="18" t="n">
        <x:v>2020</x:v>
      </x:c>
      <x:c r="E38" s="18" t="str">
        <x:v>through 2026-12-31</x:v>
      </x:c>
      <x:c r="F38" s="18" t="str">
        <x:v>Russia</x:v>
      </x:c>
      <x:c r="G38" s="18" t="str">
        <x:v>regulation</x:v>
      </x:c>
      <x:c r="H38" s="18" t="str">
        <x:v>https://government.ru/docs/all/130094/</x:v>
      </x:c>
      <x:c r="I38" s="18" t="n">
        <x:v>1</x:v>
      </x:c>
      <x:c r="J38" s="18" t="str">
        <x:v>high</x:v>
      </x:c>
      <x:c r="K38" s="18" t="str">
        <x:v>fire_safety</x:v>
      </x:c>
      <x:c r="L38" s="32" t="str">
        <x:v>replacement after 2026-12-31 NOT_PROVEN</x:v>
      </x:c>
    </x:row>
    <x:row r="39">
      <x:c r="A39" s="18" t="str">
        <x:v>S15</x:v>
      </x:c>
      <x:c r="B39" s="18" t="str">
        <x:v>Comprehensive Living Conditions Survey 2024</x:v>
      </x:c>
      <x:c r="C39" s="18" t="str">
        <x:v>Rosstat</x:v>
      </x:c>
      <x:c r="D39" s="18" t="n">
        <x:v>2024</x:v>
      </x:c>
      <x:c r="E39" s="18" t="n">
        <x:v>2024</x:v>
      </x:c>
      <x:c r="F39" s="18" t="str">
        <x:v>Russia</x:v>
      </x:c>
      <x:c r="G39" s="18" t="str">
        <x:v>personal household interviews approximately 60000 households</x:v>
      </x:c>
      <x:c r="H39" s="18" t="str">
        <x:v>https://rosstat.gov.ru/free_doc/new_site/GKS_KOUZH_2024/index.html</x:v>
      </x:c>
      <x:c r="I39" s="18" t="n">
        <x:v>1</x:v>
      </x:c>
      <x:c r="J39" s="18" t="str">
        <x:v>medium</x:v>
      </x:c>
      <x:c r="K39" s="18" t="str">
        <x:v>access_and_households</x:v>
      </x:c>
      <x:c r="L39" s="18" t="str">
        <x:v>not a private-market P&amp;L source</x:v>
      </x:c>
    </x:row>
    <x:row r="40">
      <x:c r="A40" s="18" t="str">
        <x:v>PAR-P1</x:v>
      </x:c>
      <x:c r="B40" s="18" t="str">
        <x:v>Quality of preschool education and child wellbeing</x:v>
      </x:c>
      <x:c r="C40" s="18" t="str">
        <x:v>HSE</x:v>
      </x:c>
      <x:c r="D40" s="18" t="n">
        <x:v>2023</x:v>
      </x:c>
      <x:c r="E40" s="18" t="str">
        <x:v>2021_22</x:v>
      </x:c>
      <x:c r="F40" s="18" t="str">
        <x:v>Russia</x:v>
      </x:c>
      <x:c r="G40" s="18" t="str">
        <x:v>10 directors, 10 educators, 29 mothers; interviews</x:v>
      </x:c>
      <x:c r="H40" s="18" t="str">
        <x:v>https://ioe.hse.ru/pubs/share/direct/879756424.pdf</x:v>
      </x:c>
      <x:c r="I40" s="18" t="n">
        <x:v>3</x:v>
      </x:c>
      <x:c r="J40" s="18" t="str">
        <x:v>medium patterns; low frequencies</x:v>
      </x:c>
      <x:c r="K40" s="18" t="str">
        <x:v>wellbeing, trust and churn</x:v>
      </x:c>
      <x:c r="L40" s="18" t="str">
        <x:v>small qualitative sample</x:v>
      </x:c>
    </x:row>
    <x:row r="41">
      <x:c r="A41" s="18" t="str">
        <x:v>PAR-P2</x:v>
      </x:c>
      <x:c r="B41" s="18" t="str">
        <x:v>Family role and school choice</x:v>
      </x:c>
      <x:c r="C41" s="18" t="str">
        <x:v>HSE</x:v>
      </x:c>
      <x:c r="D41" s="18" t="n">
        <x:v>2022</x:v>
      </x:c>
      <x:c r="E41" s="18" t="str">
        <x:v>2020_21</x:v>
      </x:c>
      <x:c r="F41" s="18" t="str">
        <x:v>Russia</x:v>
      </x:c>
      <x:c r="G41" s="18" t="str">
        <x:v>online survey of 14,337 parents; private schools only 1% of sample</x:v>
      </x:c>
      <x:c r="H41" s="18" t="str">
        <x:v>https://www.hse.ru/data/2022/04/04/1799423634/ib_5%2822%29_2022.pdf</x:v>
      </x:c>
      <x:c r="I41" s="18" t="n">
        <x:v>3</x:v>
      </x:c>
      <x:c r="J41" s="18" t="str">
        <x:v>medium</x:v>
      </x:c>
      <x:c r="K41" s="18" t="str">
        <x:v>school criteria, dissatisfaction and transitions</x:v>
      </x:c>
      <x:c r="L41" s="18" t="str">
        <x:v>limited direct transfer to private-school buyers</x:v>
      </x:c>
    </x:row>
    <x:row r="42">
      <x:c r="A42" s="18" t="str">
        <x:v>PAR-P3</x:v>
      </x:c>
      <x:c r="B42" s="18" t="str">
        <x:v>Parents in additional education</x:v>
      </x:c>
      <x:c r="C42" s="18" t="str">
        <x:v>HSE</x:v>
      </x:c>
      <x:c r="D42" s="18" t="n">
        <x:v>2018</x:v>
      </x:c>
      <x:c r="E42" s="18" t="n">
        <x:v>2017</x:v>
      </x:c>
      <x:c r="F42" s="18" t="str">
        <x:v>Russia</x:v>
      </x:c>
      <x:c r="G42" s="18" t="str">
        <x:v>1,669 parents using additional education</x:v>
      </x:c>
      <x:c r="H42" s="18" t="str">
        <x:v>https://www.hse.ru/data/2025/01/29/1976907400/2018_inbul_124%284%29.pdf</x:v>
      </x:c>
      <x:c r="I42" s="18" t="n">
        <x:v>3</x:v>
      </x:c>
      <x:c r="J42" s="18" t="str">
        <x:v>medium-low</x:v>
      </x:c>
      <x:c r="K42" s="18" t="str">
        <x:v>club choice and information channels</x:v>
      </x:c>
      <x:c r="L42" s="18" t="str">
        <x:v>old data</x:v>
      </x:c>
    </x:row>
    <x:row r="43">
      <x:c r="A43" s="18" t="str">
        <x:v>PAR-P4</x:v>
      </x:c>
      <x:c r="B43" s="18" t="str">
        <x:v>Participation of schoolchildren in additional education</x:v>
      </x:c>
      <x:c r="C43" s="18" t="str">
        <x:v>HSE</x:v>
      </x:c>
      <x:c r="D43" s="18" t="n">
        <x:v>2022</x:v>
      </x:c>
      <x:c r="E43" s="18" t="str">
        <x:v>2020_21</x:v>
      </x:c>
      <x:c r="F43" s="18" t="str">
        <x:v>Russia</x:v>
      </x:c>
      <x:c r="G43" s="18" t="str">
        <x:v>14,337 parents</x:v>
      </x:c>
      <x:c r="H43" s="18" t="str">
        <x:v>https://www.hse.ru/data/2022/06/22/1847493930/ib_13%2830%29_2022.pdf</x:v>
      </x:c>
      <x:c r="I43" s="18" t="n">
        <x:v>3</x:v>
      </x:c>
      <x:c r="J43" s="18" t="str">
        <x:v>medium-high</x:v>
      </x:c>
      <x:c r="K43" s="18" t="str">
        <x:v>participation and barriers</x:v>
      </x:c>
      <x:c r="L43" s="18" t="str">
        <x:v>not a commercial-centre P&amp;L source</x:v>
      </x:c>
    </x:row>
    <x:row r="44">
      <x:c r="A44" s="18" t="str">
        <x:v>PAR-P5</x:v>
      </x:c>
      <x:c r="B44" s="18" t="str">
        <x:v>Household education investment</x:v>
      </x:c>
      <x:c r="C44" s="18" t="str">
        <x:v>HSE</x:v>
      </x:c>
      <x:c r="D44" s="18" t="n">
        <x:v>2023</x:v>
      </x:c>
      <x:c r="E44" s="18" t="n">
        <x:v>2022</x:v>
      </x:c>
      <x:c r="F44" s="18" t="str">
        <x:v>Russia</x:v>
      </x:c>
      <x:c r="G44" s="18" t="str">
        <x:v>face-to-face survey of 9,000 people</x:v>
      </x:c>
      <x:c r="H44" s="18" t="str">
        <x:v>https://www.hse.ru/data/2023/08/23/2070282527/ib_10%2852%29_2023.pdf</x:v>
      </x:c>
      <x:c r="I44" s="18" t="n">
        <x:v>3</x:v>
      </x:c>
      <x:c r="J44" s="18" t="str">
        <x:v>high</x:v>
      </x:c>
      <x:c r="K44" s="18" t="str">
        <x:v>participation and paid education</x:v>
      </x:c>
      <x:c r="L44" s="18" t="str">
        <x:v>nominal historical period</x:v>
      </x:c>
    </x:row>
    <x:row r="45">
      <x:c r="A45" s="18" t="str">
        <x:v>PAR-P6</x:v>
      </x:c>
      <x:c r="B45" s="18" t="str">
        <x:v>Educational trajectories and resilience of exam spending</x:v>
      </x:c>
      <x:c r="C45" s="18" t="str">
        <x:v>HSE</x:v>
      </x:c>
      <x:c r="D45" s="18" t="n">
        <x:v>2024</x:v>
      </x:c>
      <x:c r="E45" s="18" t="n">
        <x:v>2022</x:v>
      </x:c>
      <x:c r="F45" s="18" t="str">
        <x:v>Russia</x:v>
      </x:c>
      <x:c r="G45" s="18" t="str">
        <x:v>face-to-face survey of 9,000 respondents</x:v>
      </x:c>
      <x:c r="H45" s="18" t="str">
        <x:v>https://issek.hse.ru/mirror/pubs/share/1024170732.pdf</x:v>
      </x:c>
      <x:c r="I45" s="18" t="n">
        <x:v>3</x:v>
      </x:c>
      <x:c r="J45" s="18" t="str">
        <x:v>high_for_intentions</x:v>
      </x:c>
      <x:c r="K45" s="18" t="str">
        <x:v>stated resilience of exam-prep spending</x:v>
      </x:c>
      <x:c r="L45" s="18" t="str">
        <x:v>stated behaviour, not observed crisis experiment</x:v>
      </x:c>
    </x:row>
    <x:row r="46">
      <x:c r="A46" s="18" t="str">
        <x:v>PAR-P7</x:v>
      </x:c>
      <x:c r="B46" s="18" t="str">
        <x:v>Childcare and Early Years Survey of Parents</x:v>
      </x:c>
      <x:c r="C46" s="18" t="str">
        <x:v>UK Department for Education</x:v>
      </x:c>
      <x:c r="D46" s="18" t="str">
        <x:v>2026-07-09</x:v>
      </x:c>
      <x:c r="E46" s="18" t="n">
        <x:v>2025</x:v>
      </x:c>
      <x:c r="F46" s="18" t="str">
        <x:v>England</x:v>
      </x:c>
      <x:c r="G46" s="18" t="str">
        <x:v>representative survey of 4,953 parents</x:v>
      </x:c>
      <x:c r="H46" s="18" t="str">
        <x:v>https://explore-education-statistics.service.gov.uk/find-statistics/childcare-and-early-years-survey-of-parents/2025</x:v>
      </x:c>
      <x:c r="I46" s="18" t="n">
        <x:v>1</x:v>
      </x:c>
      <x:c r="J46" s="18" t="str">
        <x:v>high_for_England</x:v>
      </x:c>
      <x:c r="K46" s="18" t="str">
        <x:v>international validation of convenience, reputation, adult ratios and progress information</x:v>
      </x:c>
      <x:c r="L46" s="18" t="str">
        <x:v>percentages are not transferable directly to Russia</x:v>
      </x:c>
    </x:row>
    <x:row r="47">
      <x:c r="A47" s="18" t="str">
        <x:v>PAR-P8</x:v>
      </x:c>
      <x:c r="B47" s="18" t="str">
        <x:v>Providers' finances: Survey of Childcare and Early Years Providers</x:v>
      </x:c>
      <x:c r="C47" s="18" t="str">
        <x:v>UK Department for Education</x:v>
      </x:c>
      <x:c r="D47" s="18" t="n">
        <x:v>2025</x:v>
      </x:c>
      <x:c r="E47" s="18" t="n">
        <x:v>2024</x:v>
      </x:c>
      <x:c r="F47" s="18" t="str">
        <x:v>England</x:v>
      </x:c>
      <x:c r="G47" s="18" t="str">
        <x:v>up to 7,059 providers</x:v>
      </x:c>
      <x:c r="H47" s="18" t="str">
        <x:v>https://assets.publishing.service.gov.uk/media/68d11ea4ca266424b221b0fb/Providers__finances_Evidence_from_the_2024_Survey_of_Childcare_and_Early_Years_Providers.pdf</x:v>
      </x:c>
      <x:c r="I47" s="18" t="n">
        <x:v>1</x:v>
      </x:c>
      <x:c r="J47" s="18" t="str">
        <x:v>high England; low transferability</x:v>
      </x:c>
      <x:c r="K47" s="18" t="str">
        <x:v>payroll and margin sensitivity</x:v>
      </x:c>
      <x:c r="L47" s="18" t="str">
        <x:v>different funding and regulation</x:v>
      </x:c>
    </x:row>
    <x:row r="48">
      <x:c r="A48" s="18" t="str">
        <x:v>PAR-P9</x:v>
      </x:c>
      <x:c r="B48" s="18" t="str">
        <x:v>Parent and Family Involvement in Education</x:v>
      </x:c>
      <x:c r="C48" s="18" t="str">
        <x:v>US NCES</x:v>
      </x:c>
      <x:c r="D48" s="18" t="n">
        <x:v>2024</x:v>
      </x:c>
      <x:c r="E48" s="18" t="str">
        <x:v>2022_23</x:v>
      </x:c>
      <x:c r="F48" s="18" t="str">
        <x:v>United_States</x:v>
      </x:c>
      <x:c r="G48" s="18" t="str">
        <x:v>19,562 weighted questionnaires</x:v>
      </x:c>
      <x:c r="H48" s="18" t="str">
        <x:v>https://nces.ed.gov/pubs2024/2024113.pdf</x:v>
      </x:c>
      <x:c r="I48" s="18" t="n">
        <x:v>1</x:v>
      </x:c>
      <x:c r="J48" s="18" t="str">
        <x:v>high_for_US</x:v>
      </x:c>
      <x:c r="K48" s="18" t="str">
        <x:v>international school-choice validation</x:v>
      </x:c>
      <x:c r="L48" s="18" t="str">
        <x:v>different education system</x:v>
      </x:c>
    </x:row>
    <x:row r="49">
      <x:c r="A49" s="18" t="str">
        <x:v>PAR-P10</x:v>
      </x:c>
      <x:c r="B49" s="18" t="str">
        <x:v>Private schools in Russia</x:v>
      </x:c>
      <x:c r="C49" s="18" t="str">
        <x:v>HSE</x:v>
      </x:c>
      <x:c r="D49" s="18" t="n">
        <x:v>2020</x:v>
      </x:c>
      <x:c r="E49" s="18" t="str">
        <x:v>2016–2019</x:v>
      </x:c>
      <x:c r="F49" s="18" t="str">
        <x:v>Russia</x:v>
      </x:c>
      <x:c r="G49" s="18" t="str">
        <x:v>statistics, parents and experts</x:v>
      </x:c>
      <x:c r="H49" s="18" t="str">
        <x:v>https://ioe.hse.ru/pubs/share/direct/408113726.pdf</x:v>
      </x:c>
      <x:c r="I49" s="18" t="n">
        <x:v>3</x:v>
      </x:c>
      <x:c r="J49" s="18" t="str">
        <x:v>medium-low</x:v>
      </x:c>
      <x:c r="K49" s="18" t="str">
        <x:v>private-school expectations and communication</x:v>
      </x:c>
      <x:c r="L49" s="18" t="str">
        <x:v>data are old</x:v>
      </x:c>
    </x:row>
    <x:row r="50">
      <x:c r="A50" s="18" t="str">
        <x:v>SRC-G01</x:v>
      </x:c>
      <x:c r="B50" s="18" t="str">
        <x:v>How do public and private schools differ in OECD countries?</x:v>
      </x:c>
      <x:c r="C50" s="18" t="str">
        <x:v>OECD</x:v>
      </x:c>
      <x:c r="D50" s="18" t="str">
        <x:v>2024-01</x:v>
      </x:c>
      <x:c r="E50" s="18" t="n">
        <x:v>2021</x:v>
      </x:c>
      <x:c r="F50" s="18" t="str">
        <x:v>OECD countries</x:v>
      </x:c>
      <x:c r="G50" s="18" t="str">
        <x:v>Comparable national administrative submissions</x:v>
      </x:c>
      <x:c r="H50" s="18" t="str">
        <x:v>https://www.oecd.org/content/dam/oecd/en/publications/reports/2024/01/how-do-public-and-private-schools-differ-in-oecd-countries_f196df88/90348307-en.pdf</x:v>
      </x:c>
      <x:c r="I50" s="18" t="n">
        <x:v>1</x:v>
      </x:c>
      <x:c r="J50" s="18" t="str">
        <x:v>high</x:v>
      </x:c>
      <x:c r="K50" s="18" t="str">
        <x:v>private share and public financing</x:v>
      </x:c>
      <x:c r="L50" s="18" t="str">
        <x:v>Private provider does not imply parent-funded</x:v>
      </x:c>
    </x:row>
    <x:row r="51">
      <x:c r="A51" s="18" t="str">
        <x:v>SRC-G02</x:v>
      </x:c>
      <x:c r="B51" s="18" t="str">
        <x:v>Education at a Glance 2025 — ECEC</x:v>
      </x:c>
      <x:c r="C51" s="18" t="str">
        <x:v>OECD</x:v>
      </x:c>
      <x:c r="D51" s="18" t="n">
        <x:v>2025</x:v>
      </x:c>
      <x:c r="E51" s="18" t="str">
        <x:v>mostly 2023/24</x:v>
      </x:c>
      <x:c r="F51" s="18" t="str">
        <x:v>OECD countries</x:v>
      </x:c>
      <x:c r="G51" s="18" t="str">
        <x:v>National statistical submissions</x:v>
      </x:c>
      <x:c r="H51" s="18" t="str">
        <x:v>https://www.oecd.org/en/publications/education-at-a-glance-2025_1c0d9c79-en/full-report/how-does-the-provision-of-and-participation-in-early-childhood-education-and-care-vary-across-countries_86b8275d.html</x:v>
      </x:c>
      <x:c r="I51" s="18" t="n">
        <x:v>1</x:v>
      </x:c>
      <x:c r="J51" s="18" t="str">
        <x:v>high</x:v>
      </x:c>
      <x:c r="K51" s="18" t="str">
        <x:v>ECEC participation</x:v>
      </x:c>
      <x:c r="L51" s="18" t="str">
        <x:v>Years differ slightly by country</x:v>
      </x:c>
    </x:row>
    <x:row r="52">
      <x:c r="A52" s="18" t="str">
        <x:v>SRC-G03</x:v>
      </x:c>
      <x:c r="B52" s="18" t="str">
        <x:v>Technology in education GEM Report</x:v>
      </x:c>
      <x:c r="C52" s="18" t="str">
        <x:v>UNESCO</x:v>
      </x:c>
      <x:c r="D52" s="18" t="n">
        <x:v>2023</x:v>
      </x:c>
      <x:c r="E52" s="18" t="str">
        <x:v>research through 2023</x:v>
      </x:c>
      <x:c r="F52" s="18" t="str">
        <x:v>Global</x:v>
      </x:c>
      <x:c r="G52" s="18" t="str">
        <x:v>Evidence review</x:v>
      </x:c>
      <x:c r="H52" s="18" t="str">
        <x:v>https://unesdoc.unesco.org/ark:/48223/pf0000385723</x:v>
      </x:c>
      <x:c r="I52" s="18" t="n">
        <x:v>1</x:v>
      </x:c>
      <x:c r="J52" s="18" t="str">
        <x:v>medium-high</x:v>
      </x:c>
      <x:c r="K52" s="18" t="str">
        <x:v>edtech evidence quality</x:v>
      </x:c>
      <x:c r="L52" s="18" t="str">
        <x:v>Heterogeneous studies</x:v>
      </x:c>
    </x:row>
    <x:row r="53">
      <x:c r="A53" s="18" t="str">
        <x:v>SRC-G04</x:v>
      </x:c>
      <x:c r="B53" s="18" t="str">
        <x:v>Digital Education Outlook 2026</x:v>
      </x:c>
      <x:c r="C53" s="18" t="str">
        <x:v>OECD</x:v>
      </x:c>
      <x:c r="D53" s="18" t="str">
        <x:v>2026-01-19</x:v>
      </x:c>
      <x:c r="E53" s="18" t="str">
        <x:v>TALIS 2024 + emerging research</x:v>
      </x:c>
      <x:c r="F53" s="18" t="str">
        <x:v>International</x:v>
      </x:c>
      <x:c r="G53" s="18" t="str">
        <x:v>International survey and evidence review</x:v>
      </x:c>
      <x:c r="H53" s="18" t="str">
        <x:v>https://www.oecd.org/en/publications/oecd-digital-education-outlook-2026_062a7394-en.html</x:v>
      </x:c>
      <x:c r="I53" s="18" t="n">
        <x:v>1</x:v>
      </x:c>
      <x:c r="J53" s="18" t="str">
        <x:v>high for adoption; medium for long-term effects</x:v>
      </x:c>
      <x:c r="K53" s="18" t="str">
        <x:v>AI adoption and learning risks</x:v>
      </x:c>
      <x:c r="L53" s="18" t="str">
        <x:v>Fast-moving evidence base</x:v>
      </x:c>
    </x:row>
    <x:row r="54">
      <x:c r="A54" s="18" t="str">
        <x:v>SRC-G05</x:v>
      </x:c>
      <x:c r="B54" s="18" t="str">
        <x:v>Private School Enrollment</x:v>
      </x:c>
      <x:c r="C54" s="18" t="str">
        <x:v>NCES</x:v>
      </x:c>
      <x:c r="D54" s="18" t="str">
        <x:v>2024-05</x:v>
      </x:c>
      <x:c r="E54" s="18" t="str">
        <x:v>2011/12–2021/22</x:v>
      </x:c>
      <x:c r="F54" s="18" t="str">
        <x:v>United States</x:v>
      </x:c>
      <x:c r="G54" s="18" t="str">
        <x:v>Private School Universe Survey and CCD</x:v>
      </x:c>
      <x:c r="H54" s="18" t="str">
        <x:v>https://nces.ed.gov/programs/coe/indicator/cgc/private-school-enrollment</x:v>
      </x:c>
      <x:c r="I54" s="18" t="n">
        <x:v>1</x:v>
      </x:c>
      <x:c r="J54" s="18" t="str">
        <x:v>high</x:v>
      </x:c>
      <x:c r="K54" s="18" t="str">
        <x:v>US private share</x:v>
      </x:c>
      <x:c r="L54" s="18" t="str">
        <x:v>Lag to 2021/22</x:v>
      </x:c>
    </x:row>
    <x:row r="55">
      <x:c r="A55" s="18" t="str">
        <x:v>SRC-G06</x:v>
      </x:c>
      <x:c r="B55" s="18" t="str">
        <x:v>Child Care-Inclusive Poverty Measure</x:v>
      </x:c>
      <x:c r="C55" s="18" t="str">
        <x:v>US Census Bureau</x:v>
      </x:c>
      <x:c r="D55" s="18" t="str">
        <x:v>2025-08</x:v>
      </x:c>
      <x:c r="E55" s="18" t="str">
        <x:v>NDCP 2008–2022 + reference 2023</x:v>
      </x:c>
      <x:c r="F55" s="18" t="str">
        <x:v>United States</x:v>
      </x:c>
      <x:c r="G55" s="18" t="str">
        <x:v>48 states + DC + Puerto Rico; county data</x:v>
      </x:c>
      <x:c r="H55" s="18" t="str">
        <x:v>https://www2.census.gov/library/working-papers/2025/demo/sehsd-wp2025-11.pdf</x:v>
      </x:c>
      <x:c r="I55" s="18" t="n">
        <x:v>1</x:v>
      </x:c>
      <x:c r="J55" s="18" t="str">
        <x:v>high</x:v>
      </x:c>
      <x:c r="K55" s="18" t="str">
        <x:v>childcare burden and prices</x:v>
      </x:c>
      <x:c r="L55" s="18" t="str">
        <x:v>US purchasing power not transferable</x:v>
      </x:c>
    </x:row>
    <x:row r="56">
      <x:c r="A56" s="18" t="str">
        <x:v>SRC-G07</x:v>
      </x:c>
      <x:c r="B56" s="18" t="str">
        <x:v>Schools pupils and characteristics 2025/26</x:v>
      </x:c>
      <x:c r="C56" s="18" t="str">
        <x:v>DfE England</x:v>
      </x:c>
      <x:c r="D56" s="18" t="str">
        <x:v>2026-06-04</x:v>
      </x:c>
      <x:c r="E56" s="18" t="str">
        <x:v>January 2026</x:v>
      </x:c>
      <x:c r="F56" s="18" t="str">
        <x:v>England</x:v>
      </x:c>
      <x:c r="G56" s="18" t="str">
        <x:v>Official school census</x:v>
      </x:c>
      <x:c r="H56" s="18" t="str">
        <x:v>https://explore-education-statistics.service.gov.uk/find-statistics/school-pupils-and-their-characteristics/2025-26</x:v>
      </x:c>
      <x:c r="I56" s="18" t="n">
        <x:v>1</x:v>
      </x:c>
      <x:c r="J56" s="18" t="str">
        <x:v>high</x:v>
      </x:c>
      <x:c r="K56" s="18" t="str">
        <x:v>independent-school decline</x:v>
      </x:c>
      <x:c r="L56" s="18" t="str">
        <x:v>Causality with VAT not isolated</x:v>
      </x:c>
    </x:row>
    <x:row r="57">
      <x:c r="A57" s="18" t="str">
        <x:v>SRC-G08</x:v>
      </x:c>
      <x:c r="B57" s="18" t="str">
        <x:v>Childcare and early years provider survey 2025</x:v>
      </x:c>
      <x:c r="C57" s="18" t="str">
        <x:v>DfE England</x:v>
      </x:c>
      <x:c r="D57" s="18" t="n">
        <x:v>2025</x:v>
      </x:c>
      <x:c r="E57" s="18" t="n">
        <x:v>2025</x:v>
      </x:c>
      <x:c r="F57" s="18" t="str">
        <x:v>England</x:v>
      </x:c>
      <x:c r="G57" s="18" t="str">
        <x:v>Annual provider survey</x:v>
      </x:c>
      <x:c r="H57" s="18" t="str">
        <x:v>https://explore-education-statistics.service.gov.uk/find-statistics/childcare-and-early-years-provider-survey/2025</x:v>
      </x:c>
      <x:c r="I57" s="18" t="n">
        <x:v>1</x:v>
      </x:c>
      <x:c r="J57" s="18" t="str">
        <x:v>high</x:v>
      </x:c>
      <x:c r="K57" s="18" t="str">
        <x:v>childcare capacity</x:v>
      </x:c>
      <x:c r="L57" s="18" t="str">
        <x:v>Survey uncertainty by provider type</x:v>
      </x:c>
    </x:row>
    <x:row r="58">
      <x:c r="A58" s="18" t="str">
        <x:v>SRC-G09</x:v>
      </x:c>
      <x:c r="B58" s="18" t="str">
        <x:v>Microschools and their potential</x:v>
      </x:c>
      <x:c r="C58" s="18" t="str">
        <x:v>RAND</x:v>
      </x:c>
      <x:c r="D58" s="18" t="n">
        <x:v>2025</x:v>
      </x:c>
      <x:c r="E58" s="18" t="str">
        <x:v>evidence through 2025</x:v>
      </x:c>
      <x:c r="F58" s="18" t="str">
        <x:v>United States</x:v>
      </x:c>
      <x:c r="G58" s="18" t="str">
        <x:v>Research and evaluation framework</x:v>
      </x:c>
      <x:c r="H58" s="18" t="str">
        <x:v>https://www.rand.org/content/dam/rand/pubs/research_reports/RRA3600/RRA3698-1/RAND_RRA3698-1.pdf</x:v>
      </x:c>
      <x:c r="I58" s="18" t="n">
        <x:v>3</x:v>
      </x:c>
      <x:c r="J58" s="18" t="str">
        <x:v>medium-high</x:v>
      </x:c>
      <x:c r="K58" s="18" t="str">
        <x:v>microschool uncertainty</x:v>
      </x:c>
      <x:c r="L58" s="18" t="str">
        <x:v>Emerging sector data sparse</x:v>
      </x:c>
    </x:row>
    <x:row r="59">
      <x:c r="A59" s="18" t="str">
        <x:v>SRC-G10</x:v>
      </x:c>
      <x:c r="B59" s="18" t="str">
        <x:v>American Microschools 2025</x:v>
      </x:c>
      <x:c r="C59" s="18" t="str">
        <x:v>National Microschooling Center</x:v>
      </x:c>
      <x:c r="D59" s="18" t="n">
        <x:v>2025</x:v>
      </x:c>
      <x:c r="E59" s="18" t="n">
        <x:v>2025</x:v>
      </x:c>
      <x:c r="F59" s="18" t="str">
        <x:v>United States</x:v>
      </x:c>
      <x:c r="G59" s="18" t="str">
        <x:v>Voluntary self-report ~800 operating/pre-launch organisations</x:v>
      </x:c>
      <x:c r="H59" s="18" t="str">
        <x:v>https://microschoolingcenter.org/hubfs/American%20Microschools%202025.pdf?hsLang=en</x:v>
      </x:c>
      <x:c r="I59" s="18" t="n">
        <x:v>4</x:v>
      </x:c>
      <x:c r="J59" s="18" t="str">
        <x:v>medium-low</x:v>
      </x:c>
      <x:c r="K59" s="18" t="str">
        <x:v>microschool composition and tuition</x:v>
      </x:c>
      <x:c r="L59" s="18" t="str">
        <x:v>Selection and organisation bias</x:v>
      </x:c>
    </x:row>
    <x:row r="60">
      <x:c r="A60" s="18" t="str">
        <x:v>SRC-G11</x:v>
      </x:c>
      <x:c r="B60" s="18" t="str">
        <x:v>Shaping the future — Dubai private schools</x:v>
      </x:c>
      <x:c r="C60" s="18" t="str">
        <x:v>KHDA</x:v>
      </x:c>
      <x:c r="D60" s="18" t="n">
        <x:v>2025</x:v>
      </x:c>
      <x:c r="E60" s="18" t="str">
        <x:v>2024/25</x:v>
      </x:c>
      <x:c r="F60" s="18" t="str">
        <x:v>Dubai</x:v>
      </x:c>
      <x:c r="G60" s="18" t="str">
        <x:v>Regulator administrative data</x:v>
      </x:c>
      <x:c r="H60" s="18" t="str">
        <x:v>https://web.khda.gov.ae/en/About-Us/Whats-New/Shaping-the-future</x:v>
      </x:c>
      <x:c r="I60" s="18" t="n">
        <x:v>1</x:v>
      </x:c>
      <x:c r="J60" s="18" t="str">
        <x:v>high</x:v>
      </x:c>
      <x:c r="K60" s="18" t="str">
        <x:v>Dubai school growth</x:v>
      </x:c>
      <x:c r="L60" s="18" t="str">
        <x:v>Expat-driven market</x:v>
      </x:c>
    </x:row>
    <x:row r="61">
      <x:c r="A61" s="18" t="str">
        <x:v>SRC-G12</x:v>
      </x:c>
      <x:c r="B61" s="18" t="str">
        <x:v>Dubai ECEC landscape</x:v>
      </x:c>
      <x:c r="C61" s="18" t="str">
        <x:v>KHDA</x:v>
      </x:c>
      <x:c r="D61" s="18" t="n">
        <x:v>2025</x:v>
      </x:c>
      <x:c r="E61" s="18" t="n">
        <x:v>2025</x:v>
      </x:c>
      <x:c r="F61" s="18" t="str">
        <x:v>Dubai</x:v>
      </x:c>
      <x:c r="G61" s="18" t="str">
        <x:v>Regulator administrative data</x:v>
      </x:c>
      <x:c r="H61" s="18" t="str">
        <x:v>https://web.khda.gov.ae/getattachment/72c19479-c392-4a7a-a59e-eea22991e80e/ECC-Landscape-infographic-En.pdf.aspx?ext=.pdf&amp;lang=en-GB</x:v>
      </x:c>
      <x:c r="I61" s="18" t="n">
        <x:v>1</x:v>
      </x:c>
      <x:c r="J61" s="18" t="str">
        <x:v>high</x:v>
      </x:c>
      <x:c r="K61" s="18" t="str">
        <x:v>Dubai ECEC growth</x:v>
      </x:c>
      <x:c r="L61" s="18" t="str">
        <x:v>Expat-driven market</x:v>
      </x:c>
    </x:row>
    <x:row r="62">
      <x:c r="A62" s="18" t="str">
        <x:v>SRC-G13</x:v>
      </x:c>
      <x:c r="B62" s="18" t="str">
        <x:v>China education statistics 2023</x:v>
      </x:c>
      <x:c r="C62" s="18" t="str">
        <x:v>China Ministry of Education</x:v>
      </x:c>
      <x:c r="D62" s="18" t="str">
        <x:v>2024-03-01</x:v>
      </x:c>
      <x:c r="E62" s="18" t="n">
        <x:v>2023</x:v>
      </x:c>
      <x:c r="F62" s="18" t="str">
        <x:v>China</x:v>
      </x:c>
      <x:c r="G62" s="18" t="str">
        <x:v>National administrative statistics</x:v>
      </x:c>
      <x:c r="H62" s="18" t="str">
        <x:v>https://en.moe.gov.cn/news/press_releases/202403/t20240311_1119782.html</x:v>
      </x:c>
      <x:c r="I62" s="18" t="n">
        <x:v>1</x:v>
      </x:c>
      <x:c r="J62" s="18" t="str">
        <x:v>high</x:v>
      </x:c>
      <x:c r="K62" s="18" t="str">
        <x:v>private compulsory schools</x:v>
      </x:c>
      <x:c r="L62" s="18" t="str">
        <x:v>Definitions and state funding differ</x:v>
      </x:c>
    </x:row>
    <x:row r="63">
      <x:c r="A63" s="18" t="str">
        <x:v>SRC-G14</x:v>
      </x:c>
      <x:c r="B63" s="18" t="str">
        <x:v>Double Reduction rules</x:v>
      </x:c>
      <x:c r="C63" s="18" t="str">
        <x:v>State Council China</x:v>
      </x:c>
      <x:c r="D63" s="18" t="str">
        <x:v>2021-07-24</x:v>
      </x:c>
      <x:c r="E63" s="18" t="str">
        <x:v>2021 onward</x:v>
      </x:c>
      <x:c r="F63" s="18" t="str">
        <x:v>China</x:v>
      </x:c>
      <x:c r="G63" s="18" t="str">
        <x:v>Government regulation</x:v>
      </x:c>
      <x:c r="H63" s="18" t="str">
        <x:v>https://english.www.gov.cn/policies/latestreleases/202107/24/content_WS60fc16dfc6d0df57f98dd873.html</x:v>
      </x:c>
      <x:c r="I63" s="18" t="n">
        <x:v>1</x:v>
      </x:c>
      <x:c r="J63" s="18" t="str">
        <x:v>high</x:v>
      </x:c>
      <x:c r="K63" s="18" t="str">
        <x:v>regulatory tail risk</x:v>
      </x:c>
      <x:c r="L63" s="18" t="str">
        <x:v>China-specific</x:v>
      </x:c>
    </x:row>
    <x:row r="64">
      <x:c r="A64" s="18" t="str">
        <x:v>SRC-G15</x:v>
      </x:c>
      <x:c r="B64" s="18" t="str">
        <x:v>ASER 2024</x:v>
      </x:c>
      <x:c r="C64" s="18" t="str">
        <x:v>ASER Centre</x:v>
      </x:c>
      <x:c r="D64" s="18" t="n">
        <x:v>2025</x:v>
      </x:c>
      <x:c r="E64" s="18" t="n">
        <x:v>2024</x:v>
      </x:c>
      <x:c r="F64" s="18" t="str">
        <x:v>Rural India</x:v>
      </x:c>
      <x:c r="G64" s="18" t="str">
        <x:v>649491 children; 352028 households; 17997 villages; 605 districts</x:v>
      </x:c>
      <x:c r="H64" s="18" t="str">
        <x:v>https://asercentre.org/wp-content/uploads/2022/12/Enrollment-4-Pager.pdf</x:v>
      </x:c>
      <x:c r="I64" s="18" t="n">
        <x:v>3</x:v>
      </x:c>
      <x:c r="J64" s="18" t="str">
        <x:v>high for rural India</x:v>
      </x:c>
      <x:c r="K64" s="18" t="str">
        <x:v>India enrolment and private share</x:v>
      </x:c>
      <x:c r="L64" s="18" t="str">
        <x:v>Not urban premium India</x:v>
      </x:c>
    </x:row>
    <x:row r="65">
      <x:c r="A65" s="18" t="str">
        <x:v>SRC-G16</x:v>
      </x:c>
      <x:c r="B65" s="18" t="str">
        <x:v>Project-based learning trial</x:v>
      </x:c>
      <x:c r="C65" s="18" t="str">
        <x:v>Education Endowment Foundation</x:v>
      </x:c>
      <x:c r="D65" s="18" t="n">
        <x:v>2016</x:v>
      </x:c>
      <x:c r="E65" s="18" t="str">
        <x:v>trial period before 2016</x:v>
      </x:c>
      <x:c r="F65" s="18" t="str">
        <x:v>United Kingdom</x:v>
      </x:c>
      <x:c r="G65" s="18" t="str">
        <x:v>Independent impact evaluation</x:v>
      </x:c>
      <x:c r="H65" s="18" t="str">
        <x:v>https://educationendowmentfoundation.org.uk/projects-and-evaluation/projects/project-based-learning</x:v>
      </x:c>
      <x:c r="I65" s="18" t="n">
        <x:v>3</x:v>
      </x:c>
      <x:c r="J65" s="18" t="str">
        <x:v>high for tested programme</x:v>
      </x:c>
      <x:c r="K65" s="18" t="str">
        <x:v>PBL evidence</x:v>
      </x:c>
      <x:c r="L65" s="18" t="str">
        <x:v>External validity limited</x:v>
      </x:c>
    </x:row>
    <x:row r="66">
      <x:c r="A66" s="18" t="str">
        <x:v>SRC-G17</x:v>
      </x:c>
      <x:c r="B66" s="18" t="str">
        <x:v>One-to-one tuition toolkit</x:v>
      </x:c>
      <x:c r="C66" s="18" t="str">
        <x:v>Education Endowment Foundation</x:v>
      </x:c>
      <x:c r="D66" s="18" t="str">
        <x:v>living review</x:v>
      </x:c>
      <x:c r="E66" s="18" t="str">
        <x:v>meta-evidence</x:v>
      </x:c>
      <x:c r="F66" s="18" t="str">
        <x:v>International/UK</x:v>
      </x:c>
      <x:c r="G66" s="18" t="str">
        <x:v>Meta-analysis and evidence synthesis</x:v>
      </x:c>
      <x:c r="H66" s="18" t="str">
        <x:v>https://educationendowmentfoundation.org.uk/education-evidence/teaching-learning-toolkit/one-to-one-tuition</x:v>
      </x:c>
      <x:c r="I66" s="18" t="n">
        <x:v>3</x:v>
      </x:c>
      <x:c r="J66" s="18" t="str">
        <x:v>medium-high</x:v>
      </x:c>
      <x:c r="K66" s="18" t="str">
        <x:v>tutoring effect</x:v>
      </x:c>
      <x:c r="L66" s="18" t="str">
        <x:v>Does not establish economics or arts outcomes</x:v>
      </x:c>
    </x:row>
    <x:row r="67">
      <x:c r="A67" s="18" t="str">
        <x:v>SRC-G18</x:v>
      </x:c>
      <x:c r="B67" s="18" t="str">
        <x:v>Social and emotional learning toolkit</x:v>
      </x:c>
      <x:c r="C67" s="18" t="str">
        <x:v>Education Endowment Foundation</x:v>
      </x:c>
      <x:c r="D67" s="18" t="str">
        <x:v>living review</x:v>
      </x:c>
      <x:c r="E67" s="18" t="str">
        <x:v>meta-evidence</x:v>
      </x:c>
      <x:c r="F67" s="18" t="str">
        <x:v>International/UK</x:v>
      </x:c>
      <x:c r="G67" s="18" t="str">
        <x:v>Meta-analysis and evidence synthesis</x:v>
      </x:c>
      <x:c r="H67" s="18" t="str">
        <x:v>https://educationendowmentfoundation.org.uk/education-evidence/teaching-learning-toolkit/social-and-emotional-learning</x:v>
      </x:c>
      <x:c r="I67" s="18" t="n">
        <x:v>3</x:v>
      </x:c>
      <x:c r="J67" s="18" t="str">
        <x:v>medium</x:v>
      </x:c>
      <x:c r="K67" s="18" t="str">
        <x:v>soft-skills evidence</x:v>
      </x:c>
      <x:c r="L67" s="18" t="str">
        <x:v>Low-security rating</x:v>
      </x:c>
    </x:row>
    <x:row r="68">
      <x:c r="A68" s="18" t="str">
        <x:v>SRC-G19</x:v>
      </x:c>
      <x:c r="B68" s="18" t="str">
        <x:v>Tackling Childcare</x:v>
      </x:c>
      <x:c r="C68" s="18" t="str">
        <x:v>IFC</x:v>
      </x:c>
      <x:c r="D68" s="18" t="str">
        <x:v>2017–2026</x:v>
      </x:c>
      <x:c r="E68" s="18" t="str">
        <x:v>case-study periods</x:v>
      </x:c>
      <x:c r="F68" s="18" t="str">
        <x:v>20+ countries</x:v>
      </x:c>
      <x:c r="G68" s="18" t="str">
        <x:v>Corporate case studies</x:v>
      </x:c>
      <x:c r="H68" s="18" t="str">
        <x:v>https://www.ifc.org/en/what-we-do/sector-expertise/gender/inclusive-employment-and-leadership/tackling-childcare</x:v>
      </x:c>
      <x:c r="I68" s="18" t="n">
        <x:v>4</x:v>
      </x:c>
      <x:c r="J68" s="18" t="str">
        <x:v>medium</x:v>
      </x:c>
      <x:c r="K68" s="18" t="str">
        <x:v>employer-sponsored childcare</x:v>
      </x:c>
      <x:c r="L68" s="18" t="str">
        <x:v>Not causal; implementation-specific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</x:cols>
  <x:sheetData>
    <x:row r="1" ht="30" customHeight="1">
      <x:c r="A1" s="4" t="str">
        <x:v>Контрольные проверки модели</x:v>
      </x:c>
      <x:c r="B1" s="4" t="str">
        <x:v>Контрольные проверки модели</x:v>
      </x:c>
      <x:c r="C1" s="4" t="str">
        <x:v>Контрольные проверки модели</x:v>
      </x:c>
      <x:c r="D1" s="4" t="str">
        <x:v>Контрольные проверки модели</x:v>
      </x:c>
      <x:c r="E1" s="4" t="str">
        <x:v>Контрольные проверки модели</x:v>
      </x:c>
      <x:c r="F1" s="4" t="str">
        <x:v>Контрольные проверки модели</x:v>
      </x:c>
    </x:row>
    <x:row r="2" ht="32" customHeight="1">
      <x:c r="A2" s="8" t="str">
        <x:v>FAIL означает арифметическую/структурную ошибку. INPUT NEEDED — намеренно незаполненный критический вход, который ограничивает решение.</x:v>
      </x:c>
      <x:c r="B2" s="8" t="str">
        <x:v>FAIL означает арифметическую/структурную ошибку. INPUT NEEDED — намеренно незаполненный критический вход, который ограничивает решение.</x:v>
      </x:c>
      <x:c r="C2" s="8" t="str">
        <x:v>FAIL означает арифметическую/структурную ошибку. INPUT NEEDED — намеренно незаполненный критический вход, который ограничивает решение.</x:v>
      </x:c>
      <x:c r="D2" s="8" t="str">
        <x:v>FAIL означает арифметическую/структурную ошибку. INPUT NEEDED — намеренно незаполненный критический вход, который ограничивает решение.</x:v>
      </x:c>
      <x:c r="E2" s="8" t="str">
        <x:v>FAIL означает арифметическую/структурную ошибку. INPUT NEEDED — намеренно незаполненный критический вход, который ограничивает решение.</x:v>
      </x:c>
      <x:c r="F2" s="8" t="str">
        <x:v>FAIL означает арифметическую/структурную ошибку. INPUT NEEDED — намеренно незаполненный критический вход, который ограничивает решение.</x:v>
      </x:c>
    </x:row>
    <x:row r="4" ht="30" customHeight="1">
      <x:c r="A4" s="14" t="str">
        <x:v>check</x:v>
      </x:c>
      <x:c r="B4" s="14" t="str">
        <x:v>formula / basis</x:v>
      </x:c>
      <x:c r="C4" s="14" t="str">
        <x:v>expected</x:v>
      </x:c>
      <x:c r="D4" s="14" t="str">
        <x:v>actual</x:v>
      </x:c>
      <x:c r="E4" s="14" t="str">
        <x:v>status</x:v>
      </x:c>
      <x:c r="F4" s="14" t="str">
        <x:v>comment</x:v>
      </x:c>
    </x:row>
    <x:row r="5">
      <x:c r="A5" s="18" t="str">
        <x:v>ArtHello contracts</x:v>
      </x:c>
      <x:c r="B5" s="18" t="str">
        <x:v>garden + school</x:v>
      </x:c>
      <x:c r="C5" s="107" t="n">
        <x:v>93</x:v>
      </x:c>
      <x:c r="D5" s="107" t="n">
        <x:f>ArtHello!B6</x:f>
        <x:v>93</x:v>
      </x:c>
      <x:c r="E5" s="18" t="str">
        <x:f>IF(C5=D5,"PASS","FAIL")</x:f>
        <x:v>PASS</x:v>
      </x:c>
      <x:c r="F5" s="18" t="str">
        <x:v>Рабочий список, не live CRM</x:v>
      </x:c>
    </x:row>
    <x:row r="6">
      <x:c r="A6" s="18" t="str">
        <x:v>Contracted monthly revenue</x:v>
      </x:c>
      <x:c r="B6" s="18" t="str">
        <x:v>garden + school</x:v>
      </x:c>
      <x:c r="C6" s="107" t="n">
        <x:v>5633349</x:v>
      </x:c>
      <x:c r="D6" s="107" t="n">
        <x:f>ArtHello!B7</x:f>
        <x:v>5633349</x:v>
      </x:c>
      <x:c r="E6" s="18" t="str">
        <x:f>IF(C6=D6,"PASS","FAIL")</x:f>
        <x:v>PASS</x:v>
      </x:c>
      <x:c r="F6" s="18" t="str">
        <x:v>Не банковская выручка</x:v>
      </x:c>
    </x:row>
    <x:row r="7">
      <x:c r="A7" s="18" t="str">
        <x:v>Payroll low share</x:v>
      </x:c>
      <x:c r="B7" s="18" t="str">
        <x:v>3.54m / contracted</x:v>
      </x:c>
      <x:c r="C7" s="44" t="n">
        <x:v>0.6284</x:v>
      </x:c>
      <x:c r="D7" s="44" t="n">
        <x:f>ArtHello!B10</x:f>
        <x:v>0.6284006192408814</x:v>
      </x:c>
      <x:c r="E7" s="18" t="str">
        <x:f>IF(ABS(C7-D7)&lt;0.001,"PASS","FAIL")</x:f>
        <x:v>PASS</x:v>
      </x:c>
      <x:c r="F7" s="18" t="str">
        <x:v>Только предварительный pressure test</x:v>
      </x:c>
    </x:row>
    <x:row r="8">
      <x:c r="A8" s="18" t="str">
        <x:v>Payroll high share</x:v>
      </x:c>
      <x:c r="B8" s="18" t="str">
        <x:v>3.98m / contracted</x:v>
      </x:c>
      <x:c r="C8" s="44" t="n">
        <x:v>0.7065</x:v>
      </x:c>
      <x:c r="D8" s="44" t="n">
        <x:f>ArtHello!B11</x:f>
        <x:v>0.7065069108979402</x:v>
      </x:c>
      <x:c r="E8" s="18" t="str">
        <x:f>IF(ABS(C8-D8)&lt;0.001,"PASS","FAIL")</x:f>
        <x:v>PASS</x:v>
      </x:c>
      <x:c r="F8" s="18" t="str">
        <x:v>До аренды, питания и прочих расходов</x:v>
      </x:c>
    </x:row>
    <x:row r="9">
      <x:c r="A9" s="18" t="str">
        <x:v>Unit-economics row checks</x:v>
      </x:c>
      <x:c r="B9" s="18" t="str">
        <x:v>all rows = OK</x:v>
      </x:c>
      <x:c r="C9" s="18" t="n">
        <x:v>9</x:v>
      </x:c>
      <x:c r="D9" s="18" t="n">
        <x:f>COUNTIF(Unit_Economics!S5:S13,"OK")</x:f>
        <x:v>9</x:v>
      </x:c>
      <x:c r="E9" s="18" t="str">
        <x:f>IF(D9=C9,"PASS","FAIL")</x:f>
        <x:v>PASS</x:v>
      </x:c>
      <x:c r="F9" s="18" t="str">
        <x:v>Формулы revenue/cost tie</x:v>
      </x:c>
    </x:row>
    <x:row r="10">
      <x:c r="A10" s="18" t="str">
        <x:v>SPb SAM critical inputs</x:v>
      </x:c>
      <x:c r="B10" s="18" t="str">
        <x:v>blank count</x:v>
      </x:c>
      <x:c r="C10" s="18" t="n">
        <x:v>0</x:v>
      </x:c>
      <x:c r="D10" s="18" t="n">
        <x:f>COUNTBLANK(Assumptions!B15:D27)</x:f>
        <x:v>39</x:v>
      </x:c>
      <x:c r="E10" s="18" t="str">
        <x:f>IF(D10=0,"PASS","INPUT NEEDED")</x:f>
        <x:v>INPUT NEEDED</x:v>
      </x:c>
      <x:c r="F10" s="18" t="str">
        <x:v>Ожидается INPUT NEEDED, пока нет внутренних данных</x:v>
      </x:c>
    </x:row>
    <x:row r="11">
      <x:c r="A11" s="18" t="str">
        <x:v>SPb competitor count</x:v>
      </x:c>
      <x:c r="B11" s="18" t="str">
        <x:v>data rows</x:v>
      </x:c>
      <x:c r="C11" s="18" t="n">
        <x:v>20</x:v>
      </x:c>
      <x:c r="D11" s="18" t="n">
        <x:v>24</x:v>
      </x:c>
      <x:c r="E11" s="18" t="str">
        <x:f>IF(D11&gt;=C11,"PASS","FAIL")</x:f>
        <x:v>PASS</x:v>
      </x:c>
      <x:c r="F11" s="18" t="str">
        <x:v>Минимум 20</x:v>
      </x:c>
    </x:row>
    <x:row r="12">
      <x:c r="A12" s="18" t="str">
        <x:v>Other Russia competitor count</x:v>
      </x:c>
      <x:c r="B12" s="18" t="str">
        <x:v>data rows</x:v>
      </x:c>
      <x:c r="C12" s="18" t="n">
        <x:v>15</x:v>
      </x:c>
      <x:c r="D12" s="18" t="n">
        <x:v>25</x:v>
      </x:c>
      <x:c r="E12" s="18" t="str">
        <x:f>IF(D12&gt;=C12,"PASS","FAIL")</x:f>
        <x:v>PASS</x:v>
      </x:c>
      <x:c r="F12" s="18" t="str">
        <x:v>Минимум 15</x:v>
      </x:c>
    </x:row>
    <x:row r="13">
      <x:c r="A13" s="18" t="str">
        <x:v>International model count</x:v>
      </x:c>
      <x:c r="B13" s="18" t="str">
        <x:v>data rows</x:v>
      </x:c>
      <x:c r="C13" s="18" t="n">
        <x:v>25</x:v>
      </x:c>
      <x:c r="D13" s="18" t="n">
        <x:v>36</x:v>
      </x:c>
      <x:c r="E13" s="18" t="str">
        <x:f>IF(D13&gt;=C13,"PASS","FAIL")</x:f>
        <x:v>PASS</x:v>
      </x:c>
      <x:c r="F13" s="18" t="str">
        <x:v>Минимум 25</x:v>
      </x:c>
    </x:row>
    <x:row r="14">
      <x:c r="A14" s="18" t="str">
        <x:v>Accessible review frame</x:v>
      </x:c>
      <x:c r="B14" s="18" t="str">
        <x:v>visible card counts</x:v>
      </x:c>
      <x:c r="C14" s="18" t="n">
        <x:v>971</x:v>
      </x:c>
      <x:c r="D14" s="18" t="n">
        <x:v>971</x:v>
      </x:c>
      <x:c r="E14" s="18" t="str">
        <x:f>IF(D14=C14,"PASS","FAIL")</x:f>
        <x:v>PASS</x:v>
      </x:c>
      <x:c r="F14" s="18" t="str">
        <x:v>Не равен репрезентативно закодированному корпусу</x:v>
      </x:c>
    </x:row>
    <x:row r="15">
      <x:c r="A15" s="18" t="str">
        <x:v>Fully coded review corpus 300+</x:v>
      </x:c>
      <x:c r="B15" s="18" t="str">
        <x:v>reproducible export</x:v>
      </x:c>
      <x:c r="C15" s="18" t="n">
        <x:v>300</x:v>
      </x:c>
      <x:c r="D15" s="18" t="n">
        <x:v>75</x:v>
      </x:c>
      <x:c r="E15" s="32" t="str">
        <x:v>НЕ ДОКАЗАНО</x:v>
      </x:c>
      <x:c r="F15" s="32" t="str">
        <x:v>НЕ ДОКАЗАНО; 75 ручных фрагментов</x:v>
      </x:c>
    </x:row>
    <x:row r="16">
      <x:c r="A16" s="18" t="str">
        <x:v>Formula error scan</x:v>
      </x:c>
      <x:c r="B16" s="18" t="str">
        <x:v>all worksheets</x:v>
      </x:c>
      <x:c r="C16" s="18" t="n">
        <x:v>0</x:v>
      </x:c>
      <x:c r="D16" s="18" t="n">
        <x:v>0</x:v>
      </x:c>
      <x:c r="E16" s="18" t="str">
        <x:v>PASS</x:v>
      </x:c>
      <x:c r="F16" s="18" t="str">
        <x:v>Проверка расчётных значений не нашла Excel-ошибок</x:v>
      </x:c>
    </x:row>
  </x:sheetData>
  <x:mergeCells>
    <x:mergeCell ref="A1:F1"/>
    <x:mergeCell ref="A2:F2"/>
  </x:mergeCells>
  <x:pageMargins left="0.7" right="0.7" top="0.75" bottom="0.75" header="0.3" footer="0.3"/>
</x:worksheet>
</file>